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F:\2023\2390\239029\civil\models\Sewer Calcs\"/>
    </mc:Choice>
  </mc:AlternateContent>
  <xr:revisionPtr revIDLastSave="0" documentId="13_ncr:1_{68B3EB7E-73C9-4C3E-B2C2-9475B15453D8}" xr6:coauthVersionLast="47" xr6:coauthVersionMax="47" xr10:uidLastSave="{00000000-0000-0000-0000-000000000000}"/>
  <bookViews>
    <workbookView xWindow="-120" yWindow="-120" windowWidth="29040" windowHeight="15840" xr2:uid="{564E2900-7584-48D4-B2BB-4B80996536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 l="1"/>
  <c r="E26" i="1"/>
  <c r="E27" i="1"/>
  <c r="E22" i="1"/>
  <c r="E23" i="1"/>
  <c r="E24" i="1"/>
  <c r="D38" i="1"/>
  <c r="D39" i="1"/>
  <c r="D40" i="1"/>
  <c r="D35" i="1"/>
  <c r="D36" i="1"/>
  <c r="E38" i="1"/>
  <c r="E39" i="1"/>
  <c r="E40" i="1"/>
  <c r="E35" i="1"/>
  <c r="E36" i="1"/>
  <c r="F33" i="1"/>
  <c r="D33" i="1"/>
  <c r="D37" i="1"/>
  <c r="E37" i="1" s="1"/>
  <c r="B40" i="1"/>
  <c r="B39" i="1"/>
  <c r="B38" i="1"/>
  <c r="B37" i="1"/>
  <c r="B36" i="1"/>
  <c r="B35" i="1"/>
  <c r="C23" i="1"/>
  <c r="C24" i="1"/>
  <c r="C25" i="1"/>
  <c r="C26" i="1"/>
  <c r="C27" i="1"/>
  <c r="C22" i="1"/>
  <c r="E19" i="1"/>
  <c r="B27" i="1"/>
  <c r="B26" i="1"/>
  <c r="B25" i="1"/>
  <c r="B24" i="1"/>
  <c r="B23" i="1"/>
  <c r="B22" i="1"/>
  <c r="G24" i="1"/>
  <c r="O11" i="1"/>
  <c r="L11" i="1"/>
  <c r="H11" i="1"/>
  <c r="F11" i="1"/>
  <c r="I11" i="1" s="1"/>
  <c r="J11" i="1" s="1"/>
  <c r="Q11" i="1" s="1"/>
  <c r="D11" i="1"/>
  <c r="M11" i="1" s="1"/>
  <c r="O10" i="1"/>
  <c r="M10" i="1"/>
  <c r="L10" i="1"/>
  <c r="H10" i="1"/>
  <c r="F10" i="1"/>
  <c r="I10" i="1" s="1"/>
  <c r="J10" i="1" s="1"/>
  <c r="Q10" i="1" s="1"/>
  <c r="D10" i="1"/>
  <c r="O9" i="1"/>
  <c r="L9" i="1"/>
  <c r="H9" i="1"/>
  <c r="F9" i="1"/>
  <c r="I9" i="1" s="1"/>
  <c r="J9" i="1" s="1"/>
  <c r="D9" i="1"/>
  <c r="M9" i="1" s="1"/>
  <c r="O8" i="1"/>
  <c r="L8" i="1"/>
  <c r="H8" i="1"/>
  <c r="F8" i="1"/>
  <c r="I8" i="1" s="1"/>
  <c r="J8" i="1" s="1"/>
  <c r="Q8" i="1" s="1"/>
  <c r="D8" i="1"/>
  <c r="M8" i="1" s="1"/>
  <c r="O7" i="1"/>
  <c r="L7" i="1"/>
  <c r="H7" i="1"/>
  <c r="F7" i="1"/>
  <c r="I7" i="1" s="1"/>
  <c r="J7" i="1" s="1"/>
  <c r="D7" i="1"/>
  <c r="M7" i="1" s="1"/>
  <c r="O6" i="1"/>
  <c r="M6" i="1"/>
  <c r="L6" i="1"/>
  <c r="H6" i="1"/>
  <c r="F6" i="1"/>
  <c r="I6" i="1" s="1"/>
  <c r="J6" i="1" s="1"/>
  <c r="Q6" i="1" s="1"/>
  <c r="D6" i="1"/>
  <c r="O5" i="1"/>
  <c r="M5" i="1" s="1"/>
  <c r="L5" i="1"/>
  <c r="H5" i="1"/>
  <c r="F5" i="1"/>
  <c r="I5" i="1" s="1"/>
  <c r="J5" i="1" s="1"/>
  <c r="Q5" i="1" s="1"/>
  <c r="D5" i="1"/>
  <c r="O4" i="1"/>
  <c r="M4" i="1"/>
  <c r="L4" i="1"/>
  <c r="H4" i="1"/>
  <c r="F4" i="1"/>
  <c r="I4" i="1" s="1"/>
  <c r="J4" i="1" s="1"/>
  <c r="Q4" i="1" s="1"/>
  <c r="D4" i="1"/>
  <c r="O3" i="1"/>
  <c r="M3" i="1"/>
  <c r="L3" i="1"/>
  <c r="H3" i="1"/>
  <c r="F3" i="1"/>
  <c r="I3" i="1" s="1"/>
  <c r="J3" i="1" s="1"/>
  <c r="Q3" i="1" s="1"/>
  <c r="D3" i="1"/>
  <c r="O2" i="1"/>
  <c r="L2" i="1"/>
  <c r="H2" i="1"/>
  <c r="F2" i="1"/>
  <c r="I2" i="1" s="1"/>
  <c r="J2" i="1" s="1"/>
  <c r="D2" i="1"/>
  <c r="M2" i="1" s="1"/>
  <c r="Q2" i="1" l="1"/>
  <c r="Q9" i="1"/>
  <c r="Q7" i="1"/>
  <c r="Q13" i="1" l="1"/>
</calcChain>
</file>

<file path=xl/sharedStrings.xml><?xml version="1.0" encoding="utf-8"?>
<sst xmlns="http://schemas.openxmlformats.org/spreadsheetml/2006/main" count="49" uniqueCount="46">
  <si>
    <t>Precinct</t>
  </si>
  <si>
    <t>Dwellings</t>
  </si>
  <si>
    <t>NSA(ha)</t>
  </si>
  <si>
    <t>Density</t>
  </si>
  <si>
    <t>EP/unit</t>
  </si>
  <si>
    <t>TEP</t>
  </si>
  <si>
    <t>PCC / ep/day</t>
  </si>
  <si>
    <t>ADWF</t>
  </si>
  <si>
    <t>PDWF</t>
  </si>
  <si>
    <t>GWI</t>
  </si>
  <si>
    <t>RDI</t>
  </si>
  <si>
    <t>C = IIF</t>
  </si>
  <si>
    <t>I (I12 as 21.4)</t>
  </si>
  <si>
    <t>Design flow, PWWF  (L/s)</t>
  </si>
  <si>
    <t>For sizing, mannings or Colebrook-white equations as per Icon water IW.5.5.2</t>
  </si>
  <si>
    <t>Total flow</t>
  </si>
  <si>
    <t>Max grade of sewer as per Icon Water IW.5.5.4</t>
  </si>
  <si>
    <t>A=Q/v</t>
  </si>
  <si>
    <t>Max slope of a chosen peak flow in a certain sized pipe</t>
  </si>
  <si>
    <t>IE as Q gets larger in a pipe, y gets larger, and max slope gets less, as slope is directly proportional to velocity and as area is larger, velocity smaller to achieve Q.  But as velocity is constant Rh with bigger area proportionally evens out to less slope.  this isnt accurate description but...</t>
  </si>
  <si>
    <t>General pipe diameter</t>
  </si>
  <si>
    <t>r(m)</t>
  </si>
  <si>
    <t>Choose Design Flow Q from above:</t>
  </si>
  <si>
    <t>input</t>
  </si>
  <si>
    <t>output</t>
  </si>
  <si>
    <t>A for total flow</t>
  </si>
  <si>
    <t>EP</t>
  </si>
  <si>
    <t>Low</t>
  </si>
  <si>
    <t>&lt;25</t>
  </si>
  <si>
    <t>Medium</t>
  </si>
  <si>
    <t>25&lt;=X&lt;=80</t>
  </si>
  <si>
    <t>High</t>
  </si>
  <si>
    <t>&gt;80</t>
  </si>
  <si>
    <t>UPDATE TO UTILISE 3m/s and PDWF</t>
  </si>
  <si>
    <t>Currently: Max slope calc as max velocity is 3m/s for PDWF, taken in calc as 2.9m/s as using PWWF which is similar but slightly larger than PDWF</t>
  </si>
  <si>
    <t>theta</t>
  </si>
  <si>
    <t>S</t>
  </si>
  <si>
    <t>Q=</t>
  </si>
  <si>
    <t>Q75=</t>
  </si>
  <si>
    <t>.0041=Divide[(Power[(Power[.15,2]*Divide[(((2ArcCos[Divide[(.15-x),.15]]))-Sin[(2ArcCos[Divide[(.15-x),.15]])]),2]),Divide[7,6]]*Power[.000338,Divide[1,2]]*Power[.15,-Divide[1,6]]*Power[((2ArcCos[Divide[(.15-x),.15]])),-Divide[1,6]]),.012] - Wolfram|Alpha (wolframalpha.com)</t>
  </si>
  <si>
    <t>y (Wolfram alpha from Sss formula subbed into mannings equation so only unknown variable is y, and using .75*Q) Noting this is for y values that are less than radius of pipe</t>
  </si>
  <si>
    <t>.001886=Divide[(Power[.15,2]*((2*ArcCos[Divide[(.15-x),.15]])-Sin[2*ArcCos[Divide[(.15-x),.15]]])),2] - Wolfram|Alpha (wolframalpha.com)</t>
  </si>
  <si>
    <t>y (wolfram alpha) Noting this is for y values less than radius of pipe</t>
  </si>
  <si>
    <t>Min Slope of a chosen pipe size, given a design flow Q</t>
  </si>
  <si>
    <t>Max Slope of a chosen pipe size, given a design flow Q</t>
  </si>
  <si>
    <t>(IE max slope for set Q values in larger pipes gets bigger as more wetted perimeter and thus more surface area friction to slow it down before it reaches max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</si>
</sst>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9" tint="-0.249977111117893"/>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1" fillId="0" borderId="0" xfId="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wolframalpha.com/input?i2d=true&amp;i=.001886%3DDivide%5B%5C%2840%29Power%5B.15%2C2%5D*%5C%2840%29%5C%2840%292*ArcCos%5BDivide%5B%5C%2840%29.15-x%5C%2841%29%2C.15%5D%5D%5C%2841%29-Sin%5B2*ArcCos%5BDivide%5B%5C%2840%29.15-x%5C%2841%29%2C.15%5D%5D%5D%5C%2841%29%5C%2841%29%2C2%5D" TargetMode="External"/><Relationship Id="rId1" Type="http://schemas.openxmlformats.org/officeDocument/2006/relationships/hyperlink" Target="https://www.wolframalpha.com/input?i2d=true&amp;i=.0041%3DDivide%5B%5C%2840%29Power%5B%5C%2840%29Power%5B.15%2C2%5D*Divide%5B%5C%2840%29%5C%2840%29%5C%2840%292ArcCos%5BDivide%5B%5C%2840%29.15-x%5C%2841%29%2C.15%5D%5D%5C%2841%29%5C%2841%29-Sin%5B%5C%2840%292ArcCos%5BDivide%5B%5C%2840%29.15-x%5C%2841%29%2C.15%5D%5D%5C%2841%29%5D%5C%2841%29%2C2%5D%5C%2841%29%2CDivide%5B7%2C6%5D%5D*Power%5B.000338%2CDivide%5B1%2C2%5D%5D*Power%5B.15%2C-Divide%5B1%2C6%5D%5D*Power%5B%5C%2840%29%5C%2840%292ArcCos%5BDivide%5B%5C%2840%29.15-x%5C%2841%29%2C.15%5D%5D%5C%2841%29%5C%2841%29%2C-Divide%5B1%2C6%5D%5D%5C%2841%29%2C.012%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4B7F-F836-4B7A-9898-BA8210B61364}">
  <dimension ref="A1:AC41"/>
  <sheetViews>
    <sheetView tabSelected="1" workbookViewId="0">
      <selection activeCell="G33" sqref="G33"/>
    </sheetView>
  </sheetViews>
  <sheetFormatPr defaultRowHeight="15" x14ac:dyDescent="0.25"/>
  <cols>
    <col min="1" max="1" width="8.42578125" customWidth="1"/>
  </cols>
  <sheetData>
    <row r="1" spans="1:29" x14ac:dyDescent="0.25">
      <c r="A1" t="s">
        <v>0</v>
      </c>
      <c r="B1" s="1" t="s">
        <v>1</v>
      </c>
      <c r="C1" s="1" t="s">
        <v>2</v>
      </c>
      <c r="D1" t="s">
        <v>3</v>
      </c>
      <c r="E1" s="2" t="s">
        <v>4</v>
      </c>
      <c r="F1" t="s">
        <v>5</v>
      </c>
      <c r="H1" t="s">
        <v>6</v>
      </c>
      <c r="I1" t="s">
        <v>7</v>
      </c>
      <c r="J1" t="s">
        <v>8</v>
      </c>
      <c r="L1" t="s">
        <v>9</v>
      </c>
      <c r="M1" t="s">
        <v>10</v>
      </c>
      <c r="N1" t="s">
        <v>11</v>
      </c>
      <c r="O1" t="s">
        <v>12</v>
      </c>
      <c r="Q1" s="3" t="s">
        <v>13</v>
      </c>
      <c r="T1" t="s">
        <v>14</v>
      </c>
      <c r="U1" t="s">
        <v>16</v>
      </c>
      <c r="AA1" s="1" t="s">
        <v>23</v>
      </c>
    </row>
    <row r="2" spans="1:29" x14ac:dyDescent="0.25">
      <c r="A2">
        <v>1</v>
      </c>
      <c r="B2" s="1">
        <v>78</v>
      </c>
      <c r="C2" s="1">
        <v>1.54</v>
      </c>
      <c r="D2">
        <f>B2/C2</f>
        <v>50.649350649350652</v>
      </c>
      <c r="E2" s="2">
        <v>2.5</v>
      </c>
      <c r="F2">
        <f>E2*B2</f>
        <v>195</v>
      </c>
      <c r="H2">
        <f>180</f>
        <v>180</v>
      </c>
      <c r="I2">
        <f>F2*(H2/86400)</f>
        <v>0.40625</v>
      </c>
      <c r="J2">
        <f>5.83*(I2/(F2^(0.1)))</f>
        <v>1.3978432305785824</v>
      </c>
      <c r="L2">
        <f t="shared" ref="L2:L11" si="0">0.01875*C2*0.75</f>
        <v>2.1656249999999998E-2</v>
      </c>
      <c r="M2">
        <f>(C2*((D2/150)^(0.5)))*0.028*N2*O2</f>
        <v>1.4267604249013539</v>
      </c>
      <c r="N2">
        <v>1.2</v>
      </c>
      <c r="O2">
        <f t="shared" ref="O2:O11" si="1">21.4*((40/C2)^(0.12))*1.5</f>
        <v>47.451478071665875</v>
      </c>
      <c r="Q2" s="3">
        <f>J2+L2+M2</f>
        <v>2.8462599054799362</v>
      </c>
      <c r="AA2" s="3" t="s">
        <v>24</v>
      </c>
    </row>
    <row r="3" spans="1:29" x14ac:dyDescent="0.25">
      <c r="A3">
        <v>2</v>
      </c>
      <c r="B3" s="1">
        <v>207</v>
      </c>
      <c r="C3" s="1">
        <v>2.25</v>
      </c>
      <c r="D3">
        <f t="shared" ref="D3:D11" si="2">B3/C3</f>
        <v>92</v>
      </c>
      <c r="E3" s="2">
        <v>2</v>
      </c>
      <c r="F3">
        <f t="shared" ref="F3:F11" si="3">E3*B3</f>
        <v>414</v>
      </c>
      <c r="H3">
        <f>180</f>
        <v>180</v>
      </c>
      <c r="I3">
        <f t="shared" ref="I3:I11" si="4">F3*(H3/86400)</f>
        <v>0.86249999999999993</v>
      </c>
      <c r="J3">
        <f t="shared" ref="J3:J11" si="5">5.83*(I3/(F3^(0.1)))</f>
        <v>2.7525018807523742</v>
      </c>
      <c r="L3">
        <f t="shared" si="0"/>
        <v>3.1640624999999999E-2</v>
      </c>
      <c r="M3">
        <f>C3*((D3/150)^(0.5))*0.028*N3*O3</f>
        <v>2.684481459518973</v>
      </c>
      <c r="N3">
        <v>1.2</v>
      </c>
      <c r="O3">
        <f t="shared" si="1"/>
        <v>45.340920121355225</v>
      </c>
      <c r="Q3" s="3">
        <f t="shared" ref="Q3:Q11" si="6">J3+L3+M3</f>
        <v>5.4686239652713473</v>
      </c>
    </row>
    <row r="4" spans="1:29" x14ac:dyDescent="0.25">
      <c r="A4">
        <v>3</v>
      </c>
      <c r="B4" s="1">
        <v>156</v>
      </c>
      <c r="C4" s="1">
        <v>0.8</v>
      </c>
      <c r="D4">
        <f t="shared" si="2"/>
        <v>195</v>
      </c>
      <c r="E4" s="2">
        <v>2</v>
      </c>
      <c r="F4">
        <f t="shared" si="3"/>
        <v>312</v>
      </c>
      <c r="H4">
        <f>180</f>
        <v>180</v>
      </c>
      <c r="I4">
        <f t="shared" si="4"/>
        <v>0.65</v>
      </c>
      <c r="J4">
        <f t="shared" si="5"/>
        <v>2.133862601731944</v>
      </c>
      <c r="L4">
        <f t="shared" si="0"/>
        <v>1.125E-2</v>
      </c>
      <c r="M4">
        <f>C4*0.028*N4*O4</f>
        <v>1.3797827061509096</v>
      </c>
      <c r="N4">
        <v>1.2</v>
      </c>
      <c r="O4">
        <f t="shared" si="1"/>
        <v>51.331201865733235</v>
      </c>
      <c r="Q4" s="3">
        <f t="shared" si="6"/>
        <v>3.5248953078828533</v>
      </c>
      <c r="AA4" s="2" t="s">
        <v>3</v>
      </c>
      <c r="AB4" s="2"/>
      <c r="AC4" s="2" t="s">
        <v>26</v>
      </c>
    </row>
    <row r="5" spans="1:29" x14ac:dyDescent="0.25">
      <c r="A5">
        <v>4</v>
      </c>
      <c r="B5" s="1">
        <v>124</v>
      </c>
      <c r="C5" s="1">
        <v>0.44</v>
      </c>
      <c r="D5">
        <f t="shared" si="2"/>
        <v>281.81818181818181</v>
      </c>
      <c r="E5" s="2">
        <v>2</v>
      </c>
      <c r="F5">
        <f t="shared" si="3"/>
        <v>248</v>
      </c>
      <c r="H5">
        <f>180</f>
        <v>180</v>
      </c>
      <c r="I5">
        <f t="shared" si="4"/>
        <v>0.51666666666666661</v>
      </c>
      <c r="J5">
        <f t="shared" si="5"/>
        <v>1.7355368132771181</v>
      </c>
      <c r="L5">
        <f t="shared" si="0"/>
        <v>6.1875000000000003E-3</v>
      </c>
      <c r="M5">
        <f>C5*0.028*N5*O5</f>
        <v>0.81532331963254179</v>
      </c>
      <c r="N5">
        <v>1.2</v>
      </c>
      <c r="O5">
        <f t="shared" si="1"/>
        <v>55.149034066053964</v>
      </c>
      <c r="Q5" s="3">
        <f t="shared" si="6"/>
        <v>2.5570476329096596</v>
      </c>
      <c r="AA5" s="2" t="s">
        <v>27</v>
      </c>
      <c r="AB5" s="2" t="s">
        <v>28</v>
      </c>
      <c r="AC5" s="2">
        <v>3.5</v>
      </c>
    </row>
    <row r="6" spans="1:29" x14ac:dyDescent="0.25">
      <c r="A6">
        <v>5</v>
      </c>
      <c r="B6" s="1">
        <v>159</v>
      </c>
      <c r="C6" s="1">
        <v>0.84</v>
      </c>
      <c r="D6">
        <f t="shared" si="2"/>
        <v>189.28571428571431</v>
      </c>
      <c r="E6" s="2">
        <v>2</v>
      </c>
      <c r="F6">
        <f t="shared" si="3"/>
        <v>318</v>
      </c>
      <c r="H6">
        <f>180</f>
        <v>180</v>
      </c>
      <c r="I6">
        <f t="shared" si="4"/>
        <v>0.66249999999999998</v>
      </c>
      <c r="J6">
        <f t="shared" si="5"/>
        <v>2.1707595752080646</v>
      </c>
      <c r="L6">
        <f t="shared" si="0"/>
        <v>1.18125E-2</v>
      </c>
      <c r="M6">
        <f>C6*0.028*N6*O6</f>
        <v>1.4403143263124663</v>
      </c>
      <c r="N6">
        <v>1.2</v>
      </c>
      <c r="O6">
        <f t="shared" si="1"/>
        <v>51.031545008236478</v>
      </c>
      <c r="Q6" s="3">
        <f t="shared" si="6"/>
        <v>3.6228864015205309</v>
      </c>
      <c r="AA6" s="2" t="s">
        <v>29</v>
      </c>
      <c r="AB6" s="2" t="s">
        <v>30</v>
      </c>
      <c r="AC6" s="2">
        <v>2.5</v>
      </c>
    </row>
    <row r="7" spans="1:29" x14ac:dyDescent="0.25">
      <c r="A7">
        <v>6</v>
      </c>
      <c r="B7" s="1">
        <v>175</v>
      </c>
      <c r="C7" s="1">
        <v>1.38</v>
      </c>
      <c r="D7">
        <f t="shared" si="2"/>
        <v>126.81159420289856</v>
      </c>
      <c r="E7" s="2">
        <v>2</v>
      </c>
      <c r="F7">
        <f t="shared" si="3"/>
        <v>350</v>
      </c>
      <c r="H7">
        <f>180</f>
        <v>180</v>
      </c>
      <c r="I7">
        <f t="shared" si="4"/>
        <v>0.72916666666666663</v>
      </c>
      <c r="J7">
        <f t="shared" si="5"/>
        <v>2.3664021830551265</v>
      </c>
      <c r="L7">
        <f t="shared" si="0"/>
        <v>1.940625E-2</v>
      </c>
      <c r="M7">
        <f>C7*((D7/150)^(0.5))*0.028*N7*O7</f>
        <v>2.0498352462024876</v>
      </c>
      <c r="N7">
        <v>1.2</v>
      </c>
      <c r="O7">
        <f t="shared" si="1"/>
        <v>48.080252637138976</v>
      </c>
      <c r="Q7" s="3">
        <f t="shared" si="6"/>
        <v>4.4356436792576144</v>
      </c>
      <c r="AA7" s="2" t="s">
        <v>31</v>
      </c>
      <c r="AB7" s="2" t="s">
        <v>32</v>
      </c>
      <c r="AC7" s="2">
        <v>2</v>
      </c>
    </row>
    <row r="8" spans="1:29" x14ac:dyDescent="0.25">
      <c r="A8">
        <v>7</v>
      </c>
      <c r="B8" s="1">
        <v>121</v>
      </c>
      <c r="C8" s="1">
        <v>1.04</v>
      </c>
      <c r="D8">
        <f t="shared" si="2"/>
        <v>116.34615384615384</v>
      </c>
      <c r="E8" s="2">
        <v>2</v>
      </c>
      <c r="F8">
        <f t="shared" si="3"/>
        <v>242</v>
      </c>
      <c r="H8">
        <f>180</f>
        <v>180</v>
      </c>
      <c r="I8">
        <f t="shared" si="4"/>
        <v>0.50416666666666665</v>
      </c>
      <c r="J8">
        <f t="shared" si="5"/>
        <v>1.6977007744349455</v>
      </c>
      <c r="L8">
        <f t="shared" si="0"/>
        <v>1.4624999999999999E-2</v>
      </c>
      <c r="M8">
        <f>C8*((D8/150)^(0.5))*0.028*N8*O8</f>
        <v>1.5307745503488772</v>
      </c>
      <c r="N8">
        <v>1.2</v>
      </c>
      <c r="O8">
        <f t="shared" si="1"/>
        <v>49.740280568015045</v>
      </c>
      <c r="Q8" s="3">
        <f t="shared" si="6"/>
        <v>3.2431003247838226</v>
      </c>
    </row>
    <row r="9" spans="1:29" x14ac:dyDescent="0.25">
      <c r="A9">
        <v>8</v>
      </c>
      <c r="B9" s="1">
        <v>42</v>
      </c>
      <c r="C9" s="1">
        <v>0.35799999999999998</v>
      </c>
      <c r="D9">
        <f t="shared" si="2"/>
        <v>117.31843575418995</v>
      </c>
      <c r="E9" s="2">
        <v>2</v>
      </c>
      <c r="F9">
        <f t="shared" si="3"/>
        <v>84</v>
      </c>
      <c r="H9">
        <f>180</f>
        <v>180</v>
      </c>
      <c r="I9">
        <f t="shared" si="4"/>
        <v>0.17499999999999999</v>
      </c>
      <c r="J9">
        <f t="shared" si="5"/>
        <v>0.65505637091751834</v>
      </c>
      <c r="L9">
        <f t="shared" si="0"/>
        <v>5.0343749999999998E-3</v>
      </c>
      <c r="M9">
        <f t="shared" ref="M9:M11" si="7">C9*((D9/150)^(0.5))*0.028*N9*O9</f>
        <v>0.60137597572679391</v>
      </c>
      <c r="N9">
        <v>1.2</v>
      </c>
      <c r="O9">
        <f t="shared" si="1"/>
        <v>56.530947962469938</v>
      </c>
      <c r="Q9" s="3">
        <f t="shared" si="6"/>
        <v>1.2614667216443123</v>
      </c>
    </row>
    <row r="10" spans="1:29" x14ac:dyDescent="0.25">
      <c r="A10">
        <v>9</v>
      </c>
      <c r="B10" s="1">
        <v>30</v>
      </c>
      <c r="C10" s="1">
        <v>0.71</v>
      </c>
      <c r="D10">
        <f t="shared" si="2"/>
        <v>42.253521126760567</v>
      </c>
      <c r="E10" s="2">
        <v>2.5</v>
      </c>
      <c r="F10">
        <f t="shared" si="3"/>
        <v>75</v>
      </c>
      <c r="H10">
        <f>180</f>
        <v>180</v>
      </c>
      <c r="I10">
        <f t="shared" si="4"/>
        <v>0.15625</v>
      </c>
      <c r="J10">
        <f t="shared" si="5"/>
        <v>0.59153773547698518</v>
      </c>
      <c r="L10">
        <f t="shared" si="0"/>
        <v>9.9843750000000002E-3</v>
      </c>
      <c r="M10">
        <f t="shared" si="7"/>
        <v>0.65930243404958566</v>
      </c>
      <c r="N10">
        <v>1.2</v>
      </c>
      <c r="O10">
        <f t="shared" si="1"/>
        <v>52.071636821622505</v>
      </c>
      <c r="Q10" s="3">
        <f t="shared" si="6"/>
        <v>1.2608245445265709</v>
      </c>
    </row>
    <row r="11" spans="1:29" x14ac:dyDescent="0.25">
      <c r="A11">
        <v>10</v>
      </c>
      <c r="B11" s="1">
        <v>0</v>
      </c>
      <c r="C11" s="1">
        <v>3.19</v>
      </c>
      <c r="D11">
        <f t="shared" si="2"/>
        <v>0</v>
      </c>
      <c r="E11" s="2">
        <v>0</v>
      </c>
      <c r="F11">
        <f t="shared" si="3"/>
        <v>0</v>
      </c>
      <c r="H11">
        <f>180</f>
        <v>180</v>
      </c>
      <c r="I11">
        <f t="shared" si="4"/>
        <v>0</v>
      </c>
      <c r="J11" t="e">
        <f t="shared" si="5"/>
        <v>#DIV/0!</v>
      </c>
      <c r="L11">
        <f t="shared" si="0"/>
        <v>4.4859375E-2</v>
      </c>
      <c r="M11">
        <f t="shared" si="7"/>
        <v>0</v>
      </c>
      <c r="N11">
        <v>1.2</v>
      </c>
      <c r="O11">
        <f t="shared" si="1"/>
        <v>43.480782314895123</v>
      </c>
      <c r="Q11" s="3" t="e">
        <f t="shared" si="6"/>
        <v>#DIV/0!</v>
      </c>
    </row>
    <row r="12" spans="1:29" x14ac:dyDescent="0.25">
      <c r="Q12" s="3"/>
    </row>
    <row r="13" spans="1:29" x14ac:dyDescent="0.25">
      <c r="P13" s="3" t="s">
        <v>15</v>
      </c>
      <c r="Q13" s="3">
        <f>SUM(Q2:Q10)</f>
        <v>28.220748483276648</v>
      </c>
    </row>
    <row r="18" spans="1:23" x14ac:dyDescent="0.25">
      <c r="A18" s="4" t="s">
        <v>44</v>
      </c>
    </row>
    <row r="19" spans="1:23" x14ac:dyDescent="0.25">
      <c r="A19" t="s">
        <v>22</v>
      </c>
      <c r="E19" s="1">
        <f>Q3</f>
        <v>5.4686239652713473</v>
      </c>
      <c r="F19" s="4" t="s">
        <v>33</v>
      </c>
      <c r="G19" s="4"/>
      <c r="H19" s="4"/>
      <c r="I19" s="6"/>
      <c r="J19" s="4" t="s">
        <v>34</v>
      </c>
      <c r="K19" s="4"/>
      <c r="L19" s="4"/>
      <c r="M19" s="4"/>
      <c r="N19" s="4"/>
      <c r="O19" s="4"/>
      <c r="P19" s="4"/>
      <c r="Q19" s="4"/>
      <c r="R19" s="4"/>
      <c r="S19" s="4"/>
      <c r="T19" s="4"/>
      <c r="U19" s="4"/>
      <c r="V19" s="4"/>
      <c r="W19" s="4"/>
    </row>
    <row r="21" spans="1:23" x14ac:dyDescent="0.25">
      <c r="A21" s="1" t="s">
        <v>20</v>
      </c>
      <c r="B21" t="s">
        <v>21</v>
      </c>
      <c r="C21" t="s">
        <v>17</v>
      </c>
      <c r="D21" t="s">
        <v>42</v>
      </c>
      <c r="E21" s="3" t="s">
        <v>18</v>
      </c>
    </row>
    <row r="22" spans="1:23" x14ac:dyDescent="0.25">
      <c r="A22" s="1">
        <v>150</v>
      </c>
      <c r="B22">
        <f>(A22/1000)/2</f>
        <v>7.4999999999999997E-2</v>
      </c>
      <c r="C22">
        <f>($E$19/1000)/2.9</f>
        <v>1.8857324018177058E-3</v>
      </c>
      <c r="D22">
        <v>2.4551799999999999E-2</v>
      </c>
      <c r="E22" s="3">
        <f t="shared" ref="E22:E26" si="8">(2.9/((1/0.012)*((C22/(B22*2*ACOS((B22-D22)/B22)))^(2/3))))^2</f>
        <v>0.32472472999252266</v>
      </c>
      <c r="F22" t="s">
        <v>45</v>
      </c>
    </row>
    <row r="23" spans="1:23" x14ac:dyDescent="0.25">
      <c r="A23" s="1">
        <v>225</v>
      </c>
      <c r="B23">
        <f t="shared" ref="B23:B27" si="9">(A23/1000)/2</f>
        <v>0.1125</v>
      </c>
      <c r="C23">
        <f t="shared" ref="C23:C27" si="10">($E$19/1000)/2.9</f>
        <v>1.8857324018177058E-3</v>
      </c>
      <c r="E23" s="3" t="e">
        <f t="shared" si="8"/>
        <v>#DIV/0!</v>
      </c>
      <c r="G23" t="s">
        <v>25</v>
      </c>
    </row>
    <row r="24" spans="1:23" x14ac:dyDescent="0.25">
      <c r="A24" s="1">
        <v>300</v>
      </c>
      <c r="B24">
        <f t="shared" si="9"/>
        <v>0.15</v>
      </c>
      <c r="C24">
        <f t="shared" si="10"/>
        <v>1.8857324018177058E-3</v>
      </c>
      <c r="D24">
        <v>1.9068999999999999E-2</v>
      </c>
      <c r="E24" s="3">
        <f>(2.9/((1/0.012)*((C24/(B24*2*ACOS((B24-D24)/B24)))^(2/3))))^2</f>
        <v>0.42508313147771348</v>
      </c>
      <c r="G24">
        <f>($Q$13/1000)/2.9</f>
        <v>9.7312925804402244E-3</v>
      </c>
      <c r="H24">
        <v>5.8599999999999999E-2</v>
      </c>
      <c r="I24" s="3">
        <v>0.104</v>
      </c>
      <c r="J24" t="s">
        <v>19</v>
      </c>
    </row>
    <row r="25" spans="1:23" x14ac:dyDescent="0.25">
      <c r="A25" s="1">
        <v>375</v>
      </c>
      <c r="B25">
        <f t="shared" si="9"/>
        <v>0.1875</v>
      </c>
      <c r="C25">
        <f t="shared" si="10"/>
        <v>1.8857324018177058E-3</v>
      </c>
      <c r="E25" s="3" t="e">
        <f t="shared" si="8"/>
        <v>#DIV/0!</v>
      </c>
    </row>
    <row r="26" spans="1:23" x14ac:dyDescent="0.25">
      <c r="A26" s="1">
        <v>400</v>
      </c>
      <c r="B26">
        <f t="shared" si="9"/>
        <v>0.2</v>
      </c>
      <c r="C26">
        <f t="shared" si="10"/>
        <v>1.8857324018177058E-3</v>
      </c>
      <c r="E26" s="3" t="e">
        <f t="shared" si="8"/>
        <v>#DIV/0!</v>
      </c>
    </row>
    <row r="27" spans="1:23" x14ac:dyDescent="0.25">
      <c r="A27" s="1">
        <v>600</v>
      </c>
      <c r="B27">
        <f t="shared" si="9"/>
        <v>0.3</v>
      </c>
      <c r="C27">
        <f t="shared" si="10"/>
        <v>1.8857324018177058E-3</v>
      </c>
      <c r="E27" s="3" t="e">
        <f>(2.9/((1/0.012)*((C27/(B27*2*ACOS((B27-D27)/B27)))^(2/3))))^2</f>
        <v>#DIV/0!</v>
      </c>
    </row>
    <row r="28" spans="1:23" x14ac:dyDescent="0.25">
      <c r="D28" s="5" t="s">
        <v>41</v>
      </c>
    </row>
    <row r="32" spans="1:23" x14ac:dyDescent="0.25">
      <c r="A32" s="4" t="s">
        <v>43</v>
      </c>
    </row>
    <row r="33" spans="1:6" x14ac:dyDescent="0.25">
      <c r="C33" t="s">
        <v>37</v>
      </c>
      <c r="D33" s="1">
        <f>Q3</f>
        <v>5.4686239652713473</v>
      </c>
      <c r="E33" t="s">
        <v>38</v>
      </c>
      <c r="F33">
        <f>D33*0.75</f>
        <v>4.1014679739535103</v>
      </c>
    </row>
    <row r="34" spans="1:6" x14ac:dyDescent="0.25">
      <c r="A34" s="1" t="s">
        <v>20</v>
      </c>
      <c r="B34" t="s">
        <v>21</v>
      </c>
      <c r="C34" s="3" t="s">
        <v>40</v>
      </c>
      <c r="D34" s="3" t="s">
        <v>35</v>
      </c>
      <c r="E34" s="3" t="s">
        <v>36</v>
      </c>
    </row>
    <row r="35" spans="1:6" x14ac:dyDescent="0.25">
      <c r="A35" s="1">
        <v>150</v>
      </c>
      <c r="B35">
        <f>(A35/1000)/2</f>
        <v>7.4999999999999997E-2</v>
      </c>
      <c r="C35" s="3"/>
      <c r="D35" s="3">
        <f t="shared" ref="D35:D39" si="11">2*ACOS((B35-C35)/B35)</f>
        <v>0</v>
      </c>
      <c r="E35" s="3" t="e">
        <f t="shared" ref="E35:E39" si="12">((0.0338*B35*D35)/((B35^2)*(D35-SIN(D35))/2))/100</f>
        <v>#DIV/0!</v>
      </c>
    </row>
    <row r="36" spans="1:6" x14ac:dyDescent="0.25">
      <c r="A36" s="1">
        <v>225</v>
      </c>
      <c r="B36">
        <f t="shared" ref="B36:B40" si="13">(A36/1000)/2</f>
        <v>0.1125</v>
      </c>
      <c r="C36" s="3"/>
      <c r="D36" s="3">
        <f t="shared" si="11"/>
        <v>0</v>
      </c>
      <c r="E36" s="3" t="e">
        <f t="shared" si="12"/>
        <v>#DIV/0!</v>
      </c>
    </row>
    <row r="37" spans="1:6" x14ac:dyDescent="0.25">
      <c r="A37" s="1">
        <v>300</v>
      </c>
      <c r="B37">
        <f t="shared" si="13"/>
        <v>0.15</v>
      </c>
      <c r="C37" s="3">
        <v>3.6999999999999998E-2</v>
      </c>
      <c r="D37" s="3">
        <f>2*ACOS((B37-C37)/B37)</f>
        <v>1.4353604367612098</v>
      </c>
      <c r="E37" s="3">
        <f>((0.0338*B37*D37)/((B37^2)*(D37-SIN(D37))/2))/100</f>
        <v>1.4552150826571091E-2</v>
      </c>
    </row>
    <row r="38" spans="1:6" x14ac:dyDescent="0.25">
      <c r="A38" s="1">
        <v>375</v>
      </c>
      <c r="B38">
        <f t="shared" si="13"/>
        <v>0.1875</v>
      </c>
      <c r="C38" s="3"/>
      <c r="D38" s="3">
        <f t="shared" si="11"/>
        <v>0</v>
      </c>
      <c r="E38" s="3" t="e">
        <f t="shared" si="12"/>
        <v>#DIV/0!</v>
      </c>
    </row>
    <row r="39" spans="1:6" x14ac:dyDescent="0.25">
      <c r="A39" s="1">
        <v>400</v>
      </c>
      <c r="B39">
        <f t="shared" si="13"/>
        <v>0.2</v>
      </c>
      <c r="C39" s="3"/>
      <c r="D39" s="3">
        <f t="shared" si="11"/>
        <v>0</v>
      </c>
      <c r="E39" s="3" t="e">
        <f t="shared" si="12"/>
        <v>#DIV/0!</v>
      </c>
    </row>
    <row r="40" spans="1:6" x14ac:dyDescent="0.25">
      <c r="A40" s="1">
        <v>600</v>
      </c>
      <c r="B40">
        <f t="shared" si="13"/>
        <v>0.3</v>
      </c>
      <c r="C40" s="3"/>
      <c r="D40" s="3">
        <f>2*ACOS((B40-C40)/B40)</f>
        <v>0</v>
      </c>
      <c r="E40" s="3" t="e">
        <f>((0.0338*B40*D40)/((B40^2)*(D40-SIN(D40))/2))/100</f>
        <v>#DIV/0!</v>
      </c>
    </row>
    <row r="41" spans="1:6" x14ac:dyDescent="0.25">
      <c r="C41" s="5" t="s">
        <v>39</v>
      </c>
    </row>
  </sheetData>
  <hyperlinks>
    <hyperlink ref="C41" r:id="rId1" display="https://www.wolframalpha.com/input?i2d=true&amp;i=.0041%3DDivide%5B%5C%2840%29Power%5B%5C%2840%29Power%5B.15%2C2%5D*Divide%5B%5C%2840%29%5C%2840%29%5C%2840%292ArcCos%5BDivide%5B%5C%2840%29.15-x%5C%2841%29%2C.15%5D%5D%5C%2841%29%5C%2841%29-Sin%5B%5C%2840%292ArcCos%5BDivide%5B%5C%2840%29.15-x%5C%2841%29%2C.15%5D%5D%5C%2841%29%5D%5C%2841%29%2C2%5D%5C%2841%29%2CDivide%5B7%2C6%5D%5D*Power%5B.000338%2CDivide%5B1%2C2%5D%5D*Power%5B.15%2C-Divide%5B1%2C6%5D%5D*Power%5B%5C%2840%29%5C%2840%292ArcCos%5BDivide%5B%5C%2840%29.15-x%5C%2841%29%2C.15%5D%5D%5C%2841%29%5C%2841%29%2C-Divide%5B1%2C6%5D%5D%5C%2841%29%2C.012%5D" xr:uid="{79BAF7ED-B192-4C59-A56D-62C809A3476C}"/>
    <hyperlink ref="D28" r:id="rId2" display="https://www.wolframalpha.com/input?i2d=true&amp;i=.001886%3DDivide%5B%5C%2840%29Power%5B.15%2C2%5D*%5C%2840%29%5C%2840%292*ArcCos%5BDivide%5B%5C%2840%29.15-x%5C%2841%29%2C.15%5D%5D%5C%2841%29-Sin%5B2*ArcCos%5BDivide%5B%5C%2840%29.15-x%5C%2841%29%2C.15%5D%5D%5D%5C%2841%29%5C%2841%29%2C2%5D" xr:uid="{C5AFB5DA-B8AB-4B55-840A-D551BCA8CD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Cortijo</dc:creator>
  <cp:lastModifiedBy>Daniel Cortijo</cp:lastModifiedBy>
  <dcterms:created xsi:type="dcterms:W3CDTF">2023-05-05T03:26:19Z</dcterms:created>
  <dcterms:modified xsi:type="dcterms:W3CDTF">2023-05-08T07:40:44Z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e5dc26-ce1a-4ac6-a7c6-362afc0b48f3_Enabled">
    <vt:lpwstr>true</vt:lpwstr>
  </property>
  <property fmtid="{D5CDD505-2E9C-101B-9397-08002B2CF9AE}" pid="3" name="MSIP_Label_a6e5dc26-ce1a-4ac6-a7c6-362afc0b48f3_SetDate">
    <vt:lpwstr>2023-05-07T22:49:09Z</vt:lpwstr>
  </property>
  <property fmtid="{D5CDD505-2E9C-101B-9397-08002B2CF9AE}" pid="4" name="MSIP_Label_a6e5dc26-ce1a-4ac6-a7c6-362afc0b48f3_Method">
    <vt:lpwstr>Standard</vt:lpwstr>
  </property>
  <property fmtid="{D5CDD505-2E9C-101B-9397-08002B2CF9AE}" pid="5" name="MSIP_Label_a6e5dc26-ce1a-4ac6-a7c6-362afc0b48f3_Name">
    <vt:lpwstr>defa4170-0d19-0005-0004-bc88714345d2</vt:lpwstr>
  </property>
  <property fmtid="{D5CDD505-2E9C-101B-9397-08002B2CF9AE}" pid="6" name="MSIP_Label_a6e5dc26-ce1a-4ac6-a7c6-362afc0b48f3_SiteId">
    <vt:lpwstr>4e61e794-0ccf-4725-80e9-8bbf56f17e3c</vt:lpwstr>
  </property>
  <property fmtid="{D5CDD505-2E9C-101B-9397-08002B2CF9AE}" pid="7" name="MSIP_Label_a6e5dc26-ce1a-4ac6-a7c6-362afc0b48f3_ActionId">
    <vt:lpwstr>1c20e88a-1d03-46c8-b629-614e3dae7c2a</vt:lpwstr>
  </property>
  <property fmtid="{D5CDD505-2E9C-101B-9397-08002B2CF9AE}" pid="8" name="MSIP_Label_a6e5dc26-ce1a-4ac6-a7c6-362afc0b48f3_ContentBits">
    <vt:lpwstr>0</vt:lpwstr>
  </property>
</Properties>
</file>