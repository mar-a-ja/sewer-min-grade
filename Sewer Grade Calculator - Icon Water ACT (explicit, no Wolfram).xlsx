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5000" activeTab="3"/>
  </bookViews>
  <sheets>
    <sheet name="README" sheetId="1" r:id="rId1"/>
    <sheet name="Parameters" sheetId="2" r:id="rId2"/>
    <sheet name="Peak Flows" sheetId="3" r:id="rId3"/>
    <sheet name="Grade Calculator" sheetId="4" r:id="rId4"/>
    <sheet name="Calc" sheetId="5" r:id="rId5"/>
    <sheet name="Design Table" sheetId="6" r:id="rId6"/>
    <sheet name="Validation" sheetId="7" r:id="rId7"/>
    <sheet name="Sources" sheetId="8" r:id="rId8"/>
  </sheets>
  <definedNames>
    <definedName name="n_Manning">Parameters!$C$6</definedName>
    <definedName name="K_sss">Parameters!$C$7</definedName>
    <definedName name="f_sss">Parameters!$C$8</definedName>
    <definedName name="K_sc">Parameters!$C$9</definedName>
    <definedName name="f_sc">Parameters!$C$10</definedName>
    <definedName name="V_max">Parameters!$C$11</definedName>
    <definedName name="rho_w">Parameters!$C$12</definedName>
    <definedName name="g_acc">Parameters!$C$13</definedName>
    <definedName name="tau_sss">Parameters!$C$14</definedName>
    <definedName name="tau_sc">Parameters!$C$15</definedName>
    <definedName name="PCC">Parameters!$C$17</definedName>
    <definedName name="PF_method">Parameters!$C$18</definedName>
    <definedName name="PF_a">Parameters!$C$19</definedName>
    <definedName name="PF_b">Parameters!$C$20</definedName>
    <definedName name="GWI_rate">Parameters!$C$21</definedName>
    <definedName name="PortionWet">Parameters!$C$22</definedName>
    <definedName name="IIF_coef">Parameters!$C$23</definedName>
    <definedName name="IIF_C">Parameters!$C$24</definedName>
    <definedName name="I_12">Parameters!$C$25</definedName>
    <definedName name="I_area_ref">Parameters!$C$26</definedName>
    <definedName name="I_area_exp">Parameters!$C$27</definedName>
    <definedName name="F_cont">Parameters!$C$28</definedName>
    <definedName name="Dens_ref">Parameters!$C$29</definedName>
    <definedName name="Dens_basis">Parameters!$C$30</definedName>
    <definedName name="Dens_low">Parameters!$C$32</definedName>
    <definedName name="Dens_high">Parameters!$C$33</definedName>
    <definedName name="EP_low">Parameters!$C$34</definedName>
    <definedName name="EP_med">Parameters!$C$35</definedName>
    <definedName name="EP_high">Parameters!$C$36</definedName>
    <definedName name="PDWF_L_s">'Grade Calculator'!$C$9</definedName>
    <definedName name="PWWF_L_s">'Grade Calculator'!$C$10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4">
    <font>
      <sz val="11"/>
      <name val="Calibri"/>
    </font>
    <font>
      <b/>
      <sz val="11"/>
      <name val="Calibri"/>
    </font>
    <font>
      <i/>
      <sz val="10"/>
      <color rgb="FF595959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/>
    <xf numFmtId="0" fontId="1" fillId="0" borderId="0" applyFont="1"/>
    <xf numFmtId="0" fontId="1" fillId="2" borderId="1" applyFont="1" applyFill="1" applyBorder="1" applyAlignment="1">
      <alignment wrapText="1" vertical="center" horizontal="center"/>
    </xf>
    <xf numFmtId="0" fontId="0" fillId="3" borderId="1" applyFill="1" applyBorder="1"/>
    <xf numFmtId="0" fontId="0" fillId="4" borderId="1" applyFill="1" applyBorder="1"/>
    <xf numFmtId="0" fontId="2" fillId="0" borderId="0" applyFont="1" applyAlignment="1">
      <alignment wrapText="1" vertical="top"/>
    </xf>
    <xf numFmtId="0" fontId="3" fillId="0" borderId="0" applyFont="1"/>
    <xf numFmtId="164" fontId="0" fillId="3" borderId="1" applyNumberFormat="1" applyFill="1" applyBorder="1"/>
    <xf numFmtId="164" fontId="0" fillId="4" borderId="1" applyNumberFormat="1" applyFill="1" applyBorder="1"/>
    <xf numFmtId="165" fontId="0" fillId="4" borderId="1" applyNumberFormat="1" applyFill="1" applyBorder="1"/>
    <xf numFmtId="2" fontId="0" fillId="4" borderId="1" applyNumberFormat="1" applyFill="1" applyBorder="1"/>
    <xf numFmtId="166" fontId="0" fillId="4" borderId="1" applyNumberFormat="1" applyFill="1" applyBorder="1"/>
    <xf numFmtId="1" fontId="0" fillId="4" borderId="1" applyNumberFormat="1" applyFill="1" applyBorder="1"/>
    <xf numFmtId="164" fontId="0" fillId="0" borderId="1" applyNumberFormat="1" applyBorder="1"/>
    <xf numFmtId="165" fontId="0" fillId="0" borderId="1" applyNumberFormat="1" applyBorder="1"/>
    <xf numFmtId="0" fontId="0" fillId="0" borderId="0" applyAlignment="1">
      <alignment wrapText="1" vertical="top"/>
    </xf>
    <xf numFmtId="2" fontId="0" fillId="3" borderId="1" applyNumberFormat="1" applyFill="1" applyBorder="1"/>
    <xf numFmtId="2" fontId="0" fillId="0" borderId="1" applyNumberFormat="1" applyBorder="1"/>
    <xf numFmtId="1" fontId="0" fillId="0" borderId="1" applyNumberFormat="1" applyBorder="1"/>
    <xf numFmtId="0" fontId="1" fillId="4" borderId="1" applyFont="1" applyFill="1" applyBorder="1" applyAlignment="1">
      <alignment horizontal="center" wrapText="1"/>
    </xf>
    <xf numFmtId="0" fontId="1" fillId="5" borderId="0" applyFont="1" applyFill="1"/>
    <xf numFmtId="165" fontId="0" fillId="3" borderId="1" applyNumberForma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cols>
    <col min="1" max="1" width="170" customWidth="1"/>
  </cols>
  <sheetData>
    <row r="1">
      <c r="A1" s="6" t="inlineStr">
        <is>
          <t xml:space="preserve">Sewer minimum / maximum grade calculator - Icon Water (ACT) STD-SPE-G-011</t>
        </is>
      </c>
    </row>
    <row r="2">
      <c r="A2" s="5" t="inlineStr">
        <is>
          <t xml:space="preserve">Replaces '230508 - Sewer Calcs - Peak Flows, Max Grade, Min Grade - DC.xlsx' (left untouched).</t>
        </is>
      </c>
    </row>
    <row r="3">
      <c r="A3" t="inlineStr">
        <is>
          <t xml:space="preserve"/>
        </is>
      </c>
    </row>
    <row r="4">
      <c r="A4" s="20" t="inlineStr">
        <is>
          <t xml:space="preserve">WHAT IT DOES</t>
        </is>
      </c>
    </row>
    <row r="5">
      <c r="A5" s="15" t="inlineStr">
        <is>
          <t xml:space="preserve">ACT only. Given a design PDWF (from EP, or typed in) it returns, for each pipe size DN150-DN900, Icon Water's slime-control grade Sss, self-cleansing grade Ssc, the governing minimum (with the absolute minimum), the maximum grade (V_max at PDWF) and a capacity check at PWWF.</t>
        </is>
      </c>
    </row>
    <row r="6">
      <c r="A6" t="inlineStr">
        <is>
          <t xml:space="preserve"/>
        </is>
      </c>
    </row>
    <row r="7">
      <c r="A7" s="20" t="inlineStr">
        <is>
          <t xml:space="preserve">HOW TO USE</t>
        </is>
      </c>
    </row>
    <row r="8">
      <c r="A8" s="15" t="inlineStr">
        <is>
          <t xml:space="preserve">1. 'Peak Flows': enter precincts (dwellings, area). PDWF / GWI / IIF / PWWF follow the WSA 02 Appendix B model; every coefficient is on 'Parameters'.</t>
        </is>
      </c>
    </row>
    <row r="9">
      <c r="A9" s="15" t="inlineStr">
        <is>
          <t xml:space="preserve">2. 'Grade Calculator': pick the precinct (or type an EP, or PDWF and PWWF directly). Read Smin / Smax per DN. Yellow = input, green = result.</t>
        </is>
      </c>
    </row>
    <row r="10">
      <c r="A10" s="15" t="inlineStr">
        <is>
          <t xml:space="preserve">3. 'Design Table': the reverse direction - pick DN and depth ratio y/D and read the PDWF that corresponds to it and the grade. No iteration; good for charts and cross-checking.</t>
        </is>
      </c>
    </row>
    <row r="11">
      <c r="A11" s="15" t="inlineStr">
        <is>
          <t xml:space="preserve">4. 'Parameters': n, K_sss, K_sc, f_sss, f_sc, V_max and the flow coefficients.</t>
        </is>
      </c>
    </row>
    <row r="12">
      <c r="A12" s="15" t="inlineStr">
        <is>
          <t xml:space="preserve">5. 'Validation': reproduces the three cases the original sheet solved in Wolfram Alpha.</t>
        </is>
      </c>
    </row>
    <row r="13">
      <c r="A13" t="inlineStr">
        <is>
          <t xml:space="preserve"/>
        </is>
      </c>
    </row>
    <row r="14">
      <c r="A14" s="20" t="inlineStr">
        <is>
          <t xml:space="preserve">METHOD (why no Wolfram Alpha is needed)</t>
        </is>
      </c>
    </row>
    <row r="15">
      <c r="A15" s="15" t="inlineStr">
        <is>
          <t xml:space="preserve">Icon Water Eq IW.5.5.3.2 is a tractive-force criterion: Sss (%) = 0.0338 / Rp  &lt;=&gt;  S = K / Rp with K = 0.000338 m, i.e. boundary shear stress tau = rho g Rp S = 3.32 Pa.</t>
        </is>
      </c>
    </row>
    <row r="16">
      <c r="A16" s="15" t="inlineStr">
        <is>
          <t xml:space="preserve">Substituting S = K/Rp into Manning V = (1/n) Rp^(2/3) S^(1/2) removes S entirely:  V = (1/n) sqrt(K) Rp^(1/6)  and  Q = (1/n) sqrt(K) A Rp^(1/6).</t>
        </is>
      </c>
    </row>
    <row r="17">
      <c r="A17" s="15" t="inlineStr">
        <is>
          <t xml:space="preserve">Writing the part-full circle with the central angle theta (A = D^2 (theta - sin theta)/8, P = D theta/2, Rp = (D/4)(1 - sin theta/theta)) makes every quantity explicit and valid for ANY depth (the original was limited to y &lt; r). Only theta must be found from Q. Because f(theta) = A Rp^(1/6) is very nearly a power law in theta, a Newton step in log-space (theta &lt;- theta (T/f)^(1/p), p = d ln f / d ln theta) converges quadratically from an asymptotic starting value; 14 steps give better than 1e-6 up to y/D = 0.97. Sheet 'Calc' does exactly this - no Goal Seek, macros or circular references.</t>
        </is>
      </c>
    </row>
    <row r="18">
      <c r="A18" s="15" t="inlineStr">
        <is>
          <t xml:space="preserve">Dimensionless form: q* = Q n / (sqrt(K) D^(13/6)) = a(theta) r(theta)^(1/6), a = (theta - sin theta)/8, r = (1 - sin theta/theta)/4. One curve serves all diameters; Sss = K / (D r(theta)). At small depths Sss ~ D^0.3 Q^-0.6 (compare Mara &amp; Broome 2008 / NBR 9649: i_min = 0.0055 Q^-0.47 at fixed y/D).</t>
        </is>
      </c>
    </row>
    <row r="19">
      <c r="A19" s="15" t="inlineStr">
        <is>
          <t xml:space="preserve">Maximum grade: A = PDWF / V_max -&gt; theta from A -&gt; Rp -&gt; Smax = (V_max n / Rp^(2/3))^2.</t>
        </is>
      </c>
    </row>
    <row r="20">
      <c r="A20" s="15" t="inlineStr">
        <is>
          <t xml:space="preserve">Capacity: Manning normal depth at PWWF for the governing grade (same Newton scheme with m = 2/3); Qfull = (1/n)(pi D^2/4)(D/4)^(2/3) S^(1/2).</t>
        </is>
      </c>
    </row>
    <row r="21">
      <c r="A21" t="inlineStr">
        <is>
          <t xml:space="preserve"/>
        </is>
      </c>
    </row>
    <row r="22">
      <c r="A22" s="20" t="inlineStr">
        <is>
          <t xml:space="preserve">CHANGES FROM THE ORIGINAL SHEET</t>
        </is>
      </c>
    </row>
    <row r="23">
      <c r="A23" s="15" t="inlineStr">
        <is>
          <t xml:space="preserve">- y is no longer typed in from Wolfram Alpha; solved in-sheet for all sizes (original had values for DN150/DN300 only, the rest #DIV/0!).</t>
        </is>
      </c>
    </row>
    <row r="24">
      <c r="A24" s="15" t="inlineStr">
        <is>
          <t xml:space="preserve">- Max grade uses V_max = 3.0 m/s at PDWF as the original's own note requested (was 2.9 m/s with PWWF).</t>
        </is>
      </c>
    </row>
    <row r="25">
      <c r="A25" s="15" t="inlineStr">
        <is>
          <t xml:space="preserve">- Added Ssc and the absolute minimum so the governing grade is reported (original only did Sss).</t>
        </is>
      </c>
    </row>
    <row r="26">
      <c r="A26" s="15" t="inlineStr">
        <is>
          <t xml:space="preserve">- Added capacity check at PWWF, 1-in-X grades, status flags (surcharge, Smax &lt; Smin, pipe too small).</t>
        </is>
      </c>
    </row>
    <row r="27">
      <c r="A27" s="15" t="inlineStr">
        <is>
          <t xml:space="preserve">- Peak flows: EP/dwelling looked up from density; #DIV/0! for zero-dwelling precincts removed; IIF density factor now uses EP/ha and a cap at 1.0 as WSA 02 App B specifies (original used dwellings/ha and dropped the factor only for &gt; 150 dw/ha); GWI PortionWet applied once (original 0.01875 x 0.75 = 0.025 x 0.75 x 0.75); added WSA 02 App B d(area) peaking-factor option and a 'combined system' row.</t>
        </is>
      </c>
    </row>
    <row r="28">
      <c r="A28" s="15" t="inlineStr">
        <is>
          <t xml:space="preserve">- Sizes extended to DN900; all coefficients moved to named parameters.</t>
        </is>
      </c>
    </row>
    <row r="29">
      <c r="A29" t="inlineStr">
        <is>
          <t xml:space="preserve"/>
        </is>
      </c>
    </row>
    <row r="30">
      <c r="A30" s="20" t="inlineStr">
        <is>
          <t xml:space="preserve">CHECKED AGAINST STD-SPE-G-011 VERSION 5 (8 OCTOBER 2025)</t>
        </is>
      </c>
    </row>
    <row r="31">
      <c r="A31" s="15" t="inlineStr">
        <is>
          <t xml:space="preserve">Grades: Ssc = 0.0135/Rp, Sss = 0.0338/Rp, both at Qdmp = 0.75 x (PDWF + 2/3 TPF). Absolute minimum above DN150 is 80/ID (mm). DN150 is Table IW.4 by number of houses. Maximum grade is 3.0 m/s at PDWF. Roughness is Table IW.3.</t>
        </is>
      </c>
    </row>
    <row r="32">
      <c r="A32" s="15" t="inlineStr">
        <is>
          <t xml:space="preserve">Flows: EP/dwelling is Table IW.1 (3.5 / 2.5 / 2.0). PDWF = 5.83 x ADWF / TEP^0.1. GWI = 0.01875 x area x 0.75. RDI = 0.028 x AEff x 1.2 x I, with I = BOM 1-hour 39.35% AEP intensity x (40/area)^0.12 x 1.5.</t>
        </is>
      </c>
    </row>
    <row r="33">
      <c r="A33" s="15" t="inlineStr">
        <is>
          <t xml:space="preserve">Still site-specific: replace 21.4 mm/h with the Bureau of Meteorology 1-hour 39.35% AEP intensity for the catchment. The supplement illustrates the lookup for central Canberra; it does not print 21.4 as the design value.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cols>
    <col min="1" max="1" width="60" customWidth="1"/>
    <col min="2" max="2" width="12" customWidth="1"/>
    <col min="3" max="3" width="12" customWidth="1"/>
    <col min="4" max="4" width="10" customWidth="1"/>
    <col min="5" max="5" width="120" customWidth="1"/>
  </cols>
  <sheetData>
    <row r="1">
      <c r="A1" s="6" t="inlineStr">
        <is>
          <t xml:space="preserve">Parameters (yellow = editable input)</t>
        </is>
      </c>
    </row>
    <row r="2">
      <c r="A2" s="5" t="inlineStr">
        <is>
          <t xml:space="preserve">All calculation sheets reference these cells by defined name (Formulas &gt; Name Manager).</t>
        </is>
      </c>
    </row>
    <row r="4">
      <c r="A4" s="2" t="inlineStr">
        <is>
          <t xml:space="preserve">Parameter</t>
        </is>
      </c>
      <c r="B4" s="2" t="inlineStr">
        <is>
          <t xml:space="preserve">Symbol / name</t>
        </is>
      </c>
      <c r="C4" s="2" t="inlineStr">
        <is>
          <t xml:space="preserve">Value</t>
        </is>
      </c>
      <c r="D4" s="2" t="inlineStr">
        <is>
          <t xml:space="preserve">Units</t>
        </is>
      </c>
      <c r="E4" s="2" t="inlineStr">
        <is>
          <t xml:space="preserve">Source / note</t>
        </is>
      </c>
    </row>
    <row r="5">
      <c r="A5" s="20" t="inlineStr">
        <is>
          <t xml:space="preserve">Hydraulics - Icon Water STD-SPE-G-011 (supplement to WSA 02-2014)</t>
        </is>
      </c>
    </row>
    <row r="6">
      <c r="A6" s="15" t="inlineStr">
        <is>
          <t xml:space="preserve">Manning roughness coefficient (Icon)</t>
        </is>
      </c>
      <c r="B6" t="inlineStr">
        <is>
          <t xml:space="preserve">n</t>
        </is>
      </c>
      <c r="C6" s="3">
        <v>0.012</v>
      </c>
      <c r="D6" t="inlineStr">
        <is>
          <t xml:space="preserve">-</t>
        </is>
      </c>
      <c r="E6" s="5" t="inlineStr">
        <is>
          <t xml:space="preserve">STD-SPE-G-011 Table IW.3 gives 0.011 / 0.012 by material; 0.012 is the conservative value used in the original sheet.</t>
        </is>
      </c>
    </row>
    <row r="7">
      <c r="A7" s="15" t="inlineStr">
        <is>
          <t xml:space="preserve">Sulphide slime control coefficient</t>
        </is>
      </c>
      <c r="B7" t="inlineStr">
        <is>
          <t xml:space="preserve">K_sss</t>
        </is>
      </c>
      <c r="C7" s="3">
        <v>0.0338</v>
      </c>
      <c r="D7" t="inlineStr">
        <is>
          <t xml:space="preserve">% x m</t>
        </is>
      </c>
      <c r="E7" s="5" t="inlineStr">
        <is>
          <t xml:space="preserve">Eq IW.5.5.3.2: Sss (%) = 0.0338 / Rp, Rp = hydraulic radius at f_sss x PDWF. Equivalent boundary shear stress tau = K/100 x rho x g = 3.32 Pa.</t>
        </is>
      </c>
    </row>
    <row r="8">
      <c r="A8" s="15" t="inlineStr">
        <is>
          <t xml:space="preserve">Flow fraction for slime control</t>
        </is>
      </c>
      <c r="B8" t="inlineStr">
        <is>
          <t xml:space="preserve">f_sss</t>
        </is>
      </c>
      <c r="C8" s="3">
        <v>0.75</v>
      </c>
      <c r="D8" t="inlineStr">
        <is>
          <t xml:space="preserve">-</t>
        </is>
      </c>
      <c r="E8" s="5" t="inlineStr">
        <is>
          <t xml:space="preserve">Eq IW.5.5.3.3: Rp evaluated at 0.75 x PDWF (TPF = 0).</t>
        </is>
      </c>
    </row>
    <row r="9">
      <c r="A9" s="15" t="inlineStr">
        <is>
          <t xml:space="preserve">Self-cleansing coefficient</t>
        </is>
      </c>
      <c r="B9" t="inlineStr">
        <is>
          <t xml:space="preserve">K_sc</t>
        </is>
      </c>
      <c r="C9" s="3">
        <v>0.0135</v>
      </c>
      <c r="D9" t="inlineStr">
        <is>
          <t xml:space="preserve">% x m</t>
        </is>
      </c>
      <c r="E9" s="5" t="inlineStr">
        <is>
          <t xml:space="preserve">Eq IW.5.5.3.1: Ssc (%) = 0.0135 / Rp. Same Rp as slime control (Eq IW.5.5.3.3).</t>
        </is>
      </c>
    </row>
    <row r="10">
      <c r="A10" s="15" t="inlineStr">
        <is>
          <t xml:space="preserve">Flow fraction in Qdmp</t>
        </is>
      </c>
      <c r="B10" t="inlineStr">
        <is>
          <t xml:space="preserve">f_sc</t>
        </is>
      </c>
      <c r="C10" s="3">
        <v>0.75</v>
      </c>
      <c r="D10" t="inlineStr">
        <is>
          <t xml:space="preserve">-</t>
        </is>
      </c>
      <c r="E10" s="5" t="inlineStr">
        <is>
          <t xml:space="preserve">Eq IW.5.5.3.3: Qdmp = 0.75 x (PDWF + 2/3 TPF). Both Ssc and Sss use Rp at this flow. f_sss is the same factor.</t>
        </is>
      </c>
    </row>
    <row r="11">
      <c r="A11" s="15" t="inlineStr">
        <is>
          <t xml:space="preserve">Maximum velocity</t>
        </is>
      </c>
      <c r="B11" t="inlineStr">
        <is>
          <t xml:space="preserve">V_max</t>
        </is>
      </c>
      <c r="C11" s="3">
        <v>3.0</v>
      </c>
      <c r="D11" t="inlineStr">
        <is>
          <t xml:space="preserve">m/s</t>
        </is>
      </c>
      <c r="E11" s="5" t="inlineStr">
        <is>
          <t xml:space="preserve">IW.5.5.4: maximum grade is the grade at which velocity at PDWF reaches 3.0 m/s. The original sheet used 2.9 m/s with PWWF and carried a note to change to 3.0 m/s and PDWF.</t>
        </is>
      </c>
    </row>
    <row r="12">
      <c r="A12" s="15" t="inlineStr">
        <is>
          <t xml:space="preserve">Water density</t>
        </is>
      </c>
      <c r="B12" t="inlineStr">
        <is>
          <t xml:space="preserve">rho</t>
        </is>
      </c>
      <c r="C12" s="3">
        <v>1000.0</v>
      </c>
      <c r="D12" t="inlineStr">
        <is>
          <t xml:space="preserve">kg/m3</t>
        </is>
      </c>
      <c r="E12" s="5" t="inlineStr">
        <is>
          <t xml:space="preserve">Shear-stress equivalents only.</t>
        </is>
      </c>
    </row>
    <row r="13">
      <c r="A13" s="15" t="inlineStr">
        <is>
          <t xml:space="preserve">Gravity</t>
        </is>
      </c>
      <c r="B13" t="inlineStr">
        <is>
          <t xml:space="preserve">g</t>
        </is>
      </c>
      <c r="C13" s="3">
        <v>9.81</v>
      </c>
      <c r="D13" t="inlineStr">
        <is>
          <t xml:space="preserve">m/s2</t>
        </is>
      </c>
      <c r="E13" s="5" t="inlineStr">
        <is>
          <t xml:space="preserve">Shear-stress equivalents only.</t>
        </is>
      </c>
    </row>
    <row r="14">
      <c r="A14" s="15" t="inlineStr">
        <is>
          <t xml:space="preserve">Shear stress equivalent of K_sss</t>
        </is>
      </c>
      <c r="B14" t="inlineStr">
        <is>
          <t xml:space="preserve">tau_sss</t>
        </is>
      </c>
      <c r="C14" s="8">
        <f>K_sss/100*rho_w*g_acc</f>
      </c>
      <c r="D14" t="inlineStr">
        <is>
          <t xml:space="preserve">Pa</t>
        </is>
      </c>
      <c r="E14" s="5" t="inlineStr">
        <is>
          <t xml:space="preserve">Derived - information only.</t>
        </is>
      </c>
    </row>
    <row r="15">
      <c r="A15" s="15" t="inlineStr">
        <is>
          <t xml:space="preserve">Shear stress equivalent of K_sc</t>
        </is>
      </c>
      <c r="B15" t="inlineStr">
        <is>
          <t xml:space="preserve">tau_sc</t>
        </is>
      </c>
      <c r="C15" s="8">
        <f>K_sc/100*rho_w*g_acc</f>
      </c>
      <c r="D15" t="inlineStr">
        <is>
          <t xml:space="preserve">Pa</t>
        </is>
      </c>
      <c r="E15" s="5" t="inlineStr">
        <is>
          <t xml:space="preserve">Derived - information only.</t>
        </is>
      </c>
    </row>
    <row r="16">
      <c r="A16" s="20" t="inlineStr">
        <is>
          <t xml:space="preserve">Flow estimation - STD-SPE-G-011 Version 5 (8 Oct 2025), Section IW.3</t>
        </is>
      </c>
    </row>
    <row r="17">
      <c r="A17" s="15" t="inlineStr">
        <is>
          <t xml:space="preserve">ADWF loading</t>
        </is>
      </c>
      <c r="B17" t="inlineStr">
        <is>
          <t xml:space="preserve">PCC</t>
        </is>
      </c>
      <c r="C17" s="3">
        <v>180.0</v>
      </c>
      <c r="D17" t="inlineStr">
        <is>
          <t xml:space="preserve">L/EP/day</t>
        </is>
      </c>
      <c r="E17" s="5" t="inlineStr">
        <is>
          <t xml:space="preserve">WSA 02 App B2: ADWF = 0.0021 L/s/EP = 180 L/d/EP.</t>
        </is>
      </c>
    </row>
    <row r="18">
      <c r="A18" s="15" t="inlineStr">
        <is>
          <t xml:space="preserve">Peaking factor method (1 = a x EP^-b as original; 2 = WSA 02 App B d(area) polynomial)</t>
        </is>
      </c>
      <c r="B18" t="inlineStr">
        <is>
          <t xml:space="preserve">PF_method</t>
        </is>
      </c>
      <c r="C18" s="3">
        <v>1.0</v>
      </c>
      <c r="D18" t="inlineStr">
        <is>
          <t xml:space="preserve">-</t>
        </is>
      </c>
      <c r="E18" s="5" t="inlineStr">
        <is>
          <t xml:space="preserve">Icon requires method 1: Eqn 3.4.2.3, PDWF = 5.83 x ADWF / TEP^0.1. Method 2 is the old WSA area polynomial and is not used by Icon.</t>
        </is>
      </c>
    </row>
    <row r="19">
      <c r="A19" s="15" t="inlineStr">
        <is>
          <t xml:space="preserve">Peaking factor coefficient (method 1)</t>
        </is>
      </c>
      <c r="B19" t="inlineStr">
        <is>
          <t xml:space="preserve">PF_a</t>
        </is>
      </c>
      <c r="C19" s="3">
        <v>5.83</v>
      </c>
      <c r="D19" t="inlineStr">
        <is>
          <t xml:space="preserve">-</t>
        </is>
      </c>
      <c r="E19" s="5" t="inlineStr">
        <is>
          <t xml:space="preserve"/>
        </is>
      </c>
    </row>
    <row r="20">
      <c r="A20" s="15" t="inlineStr">
        <is>
          <t xml:space="preserve">Peaking factor exponent (method 1)</t>
        </is>
      </c>
      <c r="B20" t="inlineStr">
        <is>
          <t xml:space="preserve">PF_b</t>
        </is>
      </c>
      <c r="C20" s="3">
        <v>0.1</v>
      </c>
      <c r="D20" t="inlineStr">
        <is>
          <t xml:space="preserve">-</t>
        </is>
      </c>
      <c r="E20" s="5" t="inlineStr">
        <is>
          <t xml:space="preserve"/>
        </is>
      </c>
    </row>
    <row r="21">
      <c r="A21" s="15" t="inlineStr">
        <is>
          <t xml:space="preserve">Groundwater infiltration rate</t>
        </is>
      </c>
      <c r="B21" t="inlineStr">
        <is>
          <t xml:space="preserve">GWI_rate</t>
        </is>
      </c>
      <c r="C21" s="3">
        <v>0.01875</v>
      </c>
      <c r="D21" t="inlineStr">
        <is>
          <t xml:space="preserve">L/s/ha</t>
        </is>
      </c>
      <c r="E21" s="5" t="inlineStr">
        <is>
          <t xml:space="preserve">Eqn 3.4.3.1: GWI = 0.01875 x NSA x Portionwet.</t>
        </is>
      </c>
    </row>
    <row r="22">
      <c r="A22" s="15" t="inlineStr">
        <is>
          <t xml:space="preserve">Portion of network below groundwater</t>
        </is>
      </c>
      <c r="B22" t="inlineStr">
        <is>
          <t xml:space="preserve">PortionWet</t>
        </is>
      </c>
      <c r="C22" s="3">
        <v>0.75</v>
      </c>
      <c r="D22" t="inlineStr">
        <is>
          <t xml:space="preserve">-</t>
        </is>
      </c>
      <c r="E22" s="5" t="inlineStr">
        <is>
          <t xml:space="preserve">Icon default Portionwet = 0.75, applied once on top of the 0.01875 coefficient.</t>
        </is>
      </c>
    </row>
    <row r="23">
      <c r="A23" s="15" t="inlineStr">
        <is>
          <t xml:space="preserve">IIF (RDI) coefficient</t>
        </is>
      </c>
      <c r="B23" t="inlineStr">
        <is>
          <t xml:space="preserve">IIF_coef</t>
        </is>
      </c>
      <c r="C23" s="3">
        <v>0.028</v>
      </c>
      <c r="D23" t="inlineStr">
        <is>
          <t xml:space="preserve">-</t>
        </is>
      </c>
      <c r="E23" s="5" t="inlineStr">
        <is>
          <t xml:space="preserve">WSA 02 App B4: IIF = 0.028 x AEff x C x I.</t>
        </is>
      </c>
    </row>
    <row r="24">
      <c r="A24" s="15" t="inlineStr">
        <is>
          <t xml:space="preserve">IIF leakage severity coefficient C</t>
        </is>
      </c>
      <c r="B24" t="inlineStr">
        <is>
          <t xml:space="preserve">IIF_C</t>
        </is>
      </c>
      <c r="C24" s="3">
        <v>1.2</v>
      </c>
      <c r="D24" t="inlineStr">
        <is>
          <t xml:space="preserve">-</t>
        </is>
      </c>
      <c r="E24" s="5" t="inlineStr">
        <is>
          <t xml:space="preserve">WSA 02 Table B1: 0.4 (low) to 1.6 (high). Original sheet 1.2.</t>
        </is>
      </c>
    </row>
    <row r="25">
      <c r="A25" s="15" t="inlineStr">
        <is>
          <t xml:space="preserve">1-hour rainfall intensity at 39.35% AEP</t>
        </is>
      </c>
      <c r="B25" t="inlineStr">
        <is>
          <t xml:space="preserve">I_12</t>
        </is>
      </c>
      <c r="C25" s="3">
        <v>21.4</v>
      </c>
      <c r="D25" t="inlineStr">
        <is>
          <t xml:space="preserve">mm/h</t>
        </is>
      </c>
      <c r="E25" s="5" t="inlineStr">
        <is>
          <t xml:space="preserve">Eqn 3.4.4.2: I = I(1 hour, 39.35% AEP) x (40/NSA)^0.12 x 1.5. Look the intensity up on the Bureau of Meteorology Design Rainfall Data System for the site. 21.4 is the original spreadsheet figure, not a constant printed in STD-SPE-G-011.</t>
        </is>
      </c>
    </row>
    <row r="26">
      <c r="A26" s="15" t="inlineStr">
        <is>
          <t xml:space="preserve">FactorSize reference area</t>
        </is>
      </c>
      <c r="B26" t="inlineStr">
        <is>
          <t xml:space="preserve">I_area_ref</t>
        </is>
      </c>
      <c r="C26" s="3">
        <v>40.0</v>
      </c>
      <c r="D26" t="inlineStr">
        <is>
          <t xml:space="preserve">ha</t>
        </is>
      </c>
      <c r="E26" s="5" t="inlineStr">
        <is>
          <t xml:space="preserve">FactorSize = (40/A)^0.12 (WSA 02 App B4).</t>
        </is>
      </c>
    </row>
    <row r="27">
      <c r="A27" s="15" t="inlineStr">
        <is>
          <t xml:space="preserve">FactorSize exponent</t>
        </is>
      </c>
      <c r="B27" t="inlineStr">
        <is>
          <t xml:space="preserve">I_area_exp</t>
        </is>
      </c>
      <c r="C27" s="3">
        <v>0.12</v>
      </c>
      <c r="D27" t="inlineStr">
        <is>
          <t xml:space="preserve">-</t>
        </is>
      </c>
      <c r="E27" s="5" t="inlineStr">
        <is>
          <t xml:space="preserve"/>
        </is>
      </c>
    </row>
    <row r="28">
      <c r="A28" s="15" t="inlineStr">
        <is>
          <t xml:space="preserve">FactorContainment</t>
        </is>
      </c>
      <c r="B28" t="inlineStr">
        <is>
          <t xml:space="preserve">F_cont</t>
        </is>
      </c>
      <c r="C28" s="3">
        <v>1.5</v>
      </c>
      <c r="D28" t="inlineStr">
        <is>
          <t xml:space="preserve">-</t>
        </is>
      </c>
      <c r="E28" s="5" t="inlineStr">
        <is>
          <t xml:space="preserve">WSA 02 Table B3: 1.5 for 10-year ARI containment (SW minimum). Original sheet 1.5.</t>
        </is>
      </c>
    </row>
    <row r="29">
      <c r="A29" s="15" t="inlineStr">
        <is>
          <t xml:space="preserve">AEff density reference</t>
        </is>
      </c>
      <c r="B29" t="inlineStr">
        <is>
          <t xml:space="preserve">Dens_ref</t>
        </is>
      </c>
      <c r="C29" s="3">
        <v>150.0</v>
      </c>
      <c r="D29" t="inlineStr">
        <is>
          <t xml:space="preserve">EP/ha</t>
        </is>
      </c>
      <c r="E29" s="5" t="inlineStr">
        <is>
          <t xml:space="preserve">AEff = A x (Density/150)^0.5 for Density &lt; 150 EP/ha, else AEff = A (WSA 02 App B4).</t>
        </is>
      </c>
    </row>
    <row r="30">
      <c r="A30" s="15" t="inlineStr">
        <is>
          <t xml:space="preserve">Density basis for AEff (1 = EP/ha per WSA 02; 0 = dwellings/ha as original sheet)</t>
        </is>
      </c>
      <c r="B30" t="inlineStr">
        <is>
          <t xml:space="preserve">Dens_basis</t>
        </is>
      </c>
      <c r="C30" s="3">
        <v>1.0</v>
      </c>
      <c r="D30" t="inlineStr">
        <is>
          <t xml:space="preserve">-</t>
        </is>
      </c>
      <c r="E30" s="5" t="inlineStr">
        <is>
          <t xml:space="preserve">WSA 02 defines Density as EP per gross hectare. The original sheet used dwellings/ha, and dropped the factor only where dwellings/ha &gt; 150.</t>
        </is>
      </c>
    </row>
    <row r="31">
      <c r="A31" s="20" t="inlineStr">
        <is>
          <t xml:space="preserve">EP per dwelling by dwelling density (original sheet lookup)</t>
        </is>
      </c>
    </row>
    <row r="32">
      <c r="A32" s="15" t="inlineStr">
        <is>
          <t xml:space="preserve">Low density threshold (&lt; this = low)</t>
        </is>
      </c>
      <c r="B32" t="inlineStr">
        <is>
          <t xml:space="preserve">Dens_low</t>
        </is>
      </c>
      <c r="C32" s="3">
        <v>25.0</v>
      </c>
      <c r="D32" t="inlineStr">
        <is>
          <t xml:space="preserve">dw/ha</t>
        </is>
      </c>
      <c r="E32" s="5" t="inlineStr">
        <is>
          <t xml:space="preserve"/>
        </is>
      </c>
    </row>
    <row r="33">
      <c r="A33" s="15" t="inlineStr">
        <is>
          <t xml:space="preserve">High density threshold (&gt; this = high)</t>
        </is>
      </c>
      <c r="B33" t="inlineStr">
        <is>
          <t xml:space="preserve">Dens_high</t>
        </is>
      </c>
      <c r="C33" s="3">
        <v>80.0</v>
      </c>
      <c r="D33" t="inlineStr">
        <is>
          <t xml:space="preserve">dw/ha</t>
        </is>
      </c>
      <c r="E33" s="5" t="inlineStr">
        <is>
          <t xml:space="preserve"/>
        </is>
      </c>
    </row>
    <row r="34">
      <c r="A34" s="15" t="inlineStr">
        <is>
          <t xml:space="preserve">EP/dwelling - low density</t>
        </is>
      </c>
      <c r="B34" t="inlineStr">
        <is>
          <t xml:space="preserve">EP_low</t>
        </is>
      </c>
      <c r="C34" s="3">
        <v>3.5</v>
      </c>
      <c r="D34" t="inlineStr">
        <is>
          <t xml:space="preserve">EP</t>
        </is>
      </c>
      <c r="E34" s="5" t="inlineStr">
        <is>
          <t xml:space="preserve">Table IW.1: low density, under 25 dwellings per hectare NSA.</t>
        </is>
      </c>
    </row>
    <row r="35">
      <c r="A35" s="15" t="inlineStr">
        <is>
          <t xml:space="preserve">EP/dwelling - medium density</t>
        </is>
      </c>
      <c r="B35" t="inlineStr">
        <is>
          <t xml:space="preserve">EP_med</t>
        </is>
      </c>
      <c r="C35" s="3">
        <v>2.5</v>
      </c>
      <c r="D35" t="inlineStr">
        <is>
          <t xml:space="preserve">EP</t>
        </is>
      </c>
      <c r="E35" s="5" t="inlineStr">
        <is>
          <t xml:space="preserve"/>
        </is>
      </c>
    </row>
    <row r="36">
      <c r="A36" s="15" t="inlineStr">
        <is>
          <t xml:space="preserve">EP/dwelling - high density</t>
        </is>
      </c>
      <c r="B36" t="inlineStr">
        <is>
          <t xml:space="preserve">EP_high</t>
        </is>
      </c>
      <c r="C36" s="3">
        <v>2.0</v>
      </c>
      <c r="D36" t="inlineStr">
        <is>
          <t xml:space="preserve">EP</t>
        </is>
      </c>
      <c r="E36" s="5" t="inlineStr">
        <is>
          <t xml:space="preserve"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9"/>
  <sheetViews>
    <sheetView workbookViewId="0">
      <pane xSplit="1" ySplit="4" topLeftCell="B5" activePane="bottomRight" state="frozen"/>
    </sheetView>
  </sheetViews>
  <sheetFormatPr defaultRowHeight="15"/>
  <cols>
    <col min="1" max="1" width="24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>
      <c r="A1" s="6" t="inlineStr">
        <is>
          <t xml:space="preserve">Design flow estimation by precinct - WSA 02 Appendix B model (PDWF + GWI + IIF)</t>
        </is>
      </c>
    </row>
    <row r="2">
      <c r="A2" s="5" t="inlineStr">
        <is>
          <t xml:space="preserve">Inputs: precinct id, dwellings, area (ha). EP/dwelling is looked up from dwelling density. Coefficients live on 'Parameters'. PWWF here = WSA 02 'design flow' = PDWF + GWI + IIF (the original sheet called IIF 'RDI').</t>
        </is>
      </c>
    </row>
    <row r="4">
      <c r="A4" s="2" t="inlineStr">
        <is>
          <t xml:space="preserve">Precinct</t>
        </is>
      </c>
      <c r="B4" s="2" t="inlineStr">
        <is>
          <t xml:space="preserve">Dwellings</t>
        </is>
      </c>
      <c r="C4" s="2" t="inlineStr">
        <is>
          <t xml:space="preserve">Area (ha)</t>
        </is>
      </c>
      <c r="D4" s="2" t="inlineStr">
        <is>
          <t xml:space="preserve">Dwelling density (dw/ha)</t>
        </is>
      </c>
      <c r="E4" s="2" t="inlineStr">
        <is>
          <t xml:space="preserve">EP / dwelling</t>
        </is>
      </c>
      <c r="F4" s="2" t="inlineStr">
        <is>
          <t xml:space="preserve">Total EP</t>
        </is>
      </c>
      <c r="G4" s="2" t="inlineStr">
        <is>
          <t xml:space="preserve">EP density (EP/ha)</t>
        </is>
      </c>
      <c r="H4" s="2" t="inlineStr">
        <is>
          <t xml:space="preserve">ADWF (L/s)</t>
        </is>
      </c>
      <c r="I4" s="2" t="inlineStr">
        <is>
          <t xml:space="preserve">Peaking factor d</t>
        </is>
      </c>
      <c r="J4" s="2" t="inlineStr">
        <is>
          <t xml:space="preserve">PDWF (L/s)</t>
        </is>
      </c>
      <c r="K4" s="2" t="inlineStr">
        <is>
          <t xml:space="preserve">GWI (L/s)</t>
        </is>
      </c>
      <c r="L4" s="2" t="inlineStr">
        <is>
          <t xml:space="preserve">AEff factor</t>
        </is>
      </c>
      <c r="M4" s="2" t="inlineStr">
        <is>
          <t xml:space="preserve">I (mm/h)</t>
        </is>
      </c>
      <c r="N4" s="2" t="inlineStr">
        <is>
          <t xml:space="preserve">IIF / RDI (L/s)</t>
        </is>
      </c>
      <c r="O4" s="2" t="inlineStr">
        <is>
          <t xml:space="preserve">PWWF = design flow (L/s)</t>
        </is>
      </c>
    </row>
    <row r="5">
      <c r="A5" s="3">
        <v>1.0</v>
      </c>
      <c r="B5" s="3">
        <v>78.0</v>
      </c>
      <c r="C5" s="3">
        <v>1.54</v>
      </c>
      <c r="D5" s="10">
        <f>IF(C5=0,0,B5/C5)</f>
      </c>
      <c r="E5" s="10">
        <f>IF(B5=0,0,IF(D5&lt;Dens_low,EP_low,IF(D5&lt;=Dens_high,EP_med,EP_high)))</f>
      </c>
      <c r="F5" s="11">
        <f>E5*B5</f>
      </c>
      <c r="G5" s="11">
        <f>IF(C5=0,0,F5/C5)</f>
      </c>
      <c r="H5" s="9">
        <f>F5*PCC/86400</f>
      </c>
      <c r="I5" s="10">
        <f>IF(F5&lt;=0,0,IF(PF_method=2,IF(C5&lt;=0,0,0.01*LOG10(C5)^4-0.19*LOG10(C5)^3+1.4*LOG10(C5)^2-4.66*LOG10(C5)+7.57),PF_a/F5^PF_b))</f>
      </c>
      <c r="J5" s="8">
        <f>I5*H5</f>
      </c>
      <c r="K5" s="9">
        <f>GWI_rate*C5*PortionWet</f>
      </c>
      <c r="L5" s="8">
        <f>IF(C5=0,0,IF(Dens_basis=1,MIN(1,SQRT(G5/Dens_ref)),MIN(1,SQRT(D5/Dens_ref))))</f>
      </c>
      <c r="M5" s="10">
        <f>IF(C5=0,0,I_12*(I_area_ref/C5)^I_area_exp*F_cont)</f>
      </c>
      <c r="N5" s="8">
        <f>C5*L5*IIF_coef*IIF_C*M5</f>
      </c>
      <c r="O5" s="8">
        <f>J5+K5+N5</f>
      </c>
    </row>
    <row r="6">
      <c r="A6" s="3">
        <v>2.0</v>
      </c>
      <c r="B6" s="3">
        <v>207.0</v>
      </c>
      <c r="C6" s="3">
        <v>2.25</v>
      </c>
      <c r="D6" s="10">
        <f>IF(C6=0,0,B6/C6)</f>
      </c>
      <c r="E6" s="10">
        <f>IF(B6=0,0,IF(D6&lt;Dens_low,EP_low,IF(D6&lt;=Dens_high,EP_med,EP_high)))</f>
      </c>
      <c r="F6" s="11">
        <f>E6*B6</f>
      </c>
      <c r="G6" s="11">
        <f>IF(C6=0,0,F6/C6)</f>
      </c>
      <c r="H6" s="9">
        <f>F6*PCC/86400</f>
      </c>
      <c r="I6" s="10">
        <f>IF(F6&lt;=0,0,IF(PF_method=2,IF(C6&lt;=0,0,0.01*LOG10(C6)^4-0.19*LOG10(C6)^3+1.4*LOG10(C6)^2-4.66*LOG10(C6)+7.57),PF_a/F6^PF_b))</f>
      </c>
      <c r="J6" s="8">
        <f>I6*H6</f>
      </c>
      <c r="K6" s="9">
        <f>GWI_rate*C6*PortionWet</f>
      </c>
      <c r="L6" s="8">
        <f>IF(C6=0,0,IF(Dens_basis=1,MIN(1,SQRT(G6/Dens_ref)),MIN(1,SQRT(D6/Dens_ref))))</f>
      </c>
      <c r="M6" s="10">
        <f>IF(C6=0,0,I_12*(I_area_ref/C6)^I_area_exp*F_cont)</f>
      </c>
      <c r="N6" s="8">
        <f>C6*L6*IIF_coef*IIF_C*M6</f>
      </c>
      <c r="O6" s="8">
        <f>J6+K6+N6</f>
      </c>
    </row>
    <row r="7">
      <c r="A7" s="3">
        <v>3.0</v>
      </c>
      <c r="B7" s="3">
        <v>156.0</v>
      </c>
      <c r="C7" s="3">
        <v>0.8</v>
      </c>
      <c r="D7" s="10">
        <f>IF(C7=0,0,B7/C7)</f>
      </c>
      <c r="E7" s="10">
        <f>IF(B7=0,0,IF(D7&lt;Dens_low,EP_low,IF(D7&lt;=Dens_high,EP_med,EP_high)))</f>
      </c>
      <c r="F7" s="11">
        <f>E7*B7</f>
      </c>
      <c r="G7" s="11">
        <f>IF(C7=0,0,F7/C7)</f>
      </c>
      <c r="H7" s="9">
        <f>F7*PCC/86400</f>
      </c>
      <c r="I7" s="10">
        <f>IF(F7&lt;=0,0,IF(PF_method=2,IF(C7&lt;=0,0,0.01*LOG10(C7)^4-0.19*LOG10(C7)^3+1.4*LOG10(C7)^2-4.66*LOG10(C7)+7.57),PF_a/F7^PF_b))</f>
      </c>
      <c r="J7" s="8">
        <f>I7*H7</f>
      </c>
      <c r="K7" s="9">
        <f>GWI_rate*C7*PortionWet</f>
      </c>
      <c r="L7" s="8">
        <f>IF(C7=0,0,IF(Dens_basis=1,MIN(1,SQRT(G7/Dens_ref)),MIN(1,SQRT(D7/Dens_ref))))</f>
      </c>
      <c r="M7" s="10">
        <f>IF(C7=0,0,I_12*(I_area_ref/C7)^I_area_exp*F_cont)</f>
      </c>
      <c r="N7" s="8">
        <f>C7*L7*IIF_coef*IIF_C*M7</f>
      </c>
      <c r="O7" s="8">
        <f>J7+K7+N7</f>
      </c>
    </row>
    <row r="8">
      <c r="A8" s="3">
        <v>4.0</v>
      </c>
      <c r="B8" s="3">
        <v>124.0</v>
      </c>
      <c r="C8" s="3">
        <v>0.44</v>
      </c>
      <c r="D8" s="10">
        <f>IF(C8=0,0,B8/C8)</f>
      </c>
      <c r="E8" s="10">
        <f>IF(B8=0,0,IF(D8&lt;Dens_low,EP_low,IF(D8&lt;=Dens_high,EP_med,EP_high)))</f>
      </c>
      <c r="F8" s="11">
        <f>E8*B8</f>
      </c>
      <c r="G8" s="11">
        <f>IF(C8=0,0,F8/C8)</f>
      </c>
      <c r="H8" s="9">
        <f>F8*PCC/86400</f>
      </c>
      <c r="I8" s="10">
        <f>IF(F8&lt;=0,0,IF(PF_method=2,IF(C8&lt;=0,0,0.01*LOG10(C8)^4-0.19*LOG10(C8)^3+1.4*LOG10(C8)^2-4.66*LOG10(C8)+7.57),PF_a/F8^PF_b))</f>
      </c>
      <c r="J8" s="8">
        <f>I8*H8</f>
      </c>
      <c r="K8" s="9">
        <f>GWI_rate*C8*PortionWet</f>
      </c>
      <c r="L8" s="8">
        <f>IF(C8=0,0,IF(Dens_basis=1,MIN(1,SQRT(G8/Dens_ref)),MIN(1,SQRT(D8/Dens_ref))))</f>
      </c>
      <c r="M8" s="10">
        <f>IF(C8=0,0,I_12*(I_area_ref/C8)^I_area_exp*F_cont)</f>
      </c>
      <c r="N8" s="8">
        <f>C8*L8*IIF_coef*IIF_C*M8</f>
      </c>
      <c r="O8" s="8">
        <f>J8+K8+N8</f>
      </c>
    </row>
    <row r="9">
      <c r="A9" s="3">
        <v>5.0</v>
      </c>
      <c r="B9" s="3">
        <v>159.0</v>
      </c>
      <c r="C9" s="3">
        <v>0.84</v>
      </c>
      <c r="D9" s="10">
        <f>IF(C9=0,0,B9/C9)</f>
      </c>
      <c r="E9" s="10">
        <f>IF(B9=0,0,IF(D9&lt;Dens_low,EP_low,IF(D9&lt;=Dens_high,EP_med,EP_high)))</f>
      </c>
      <c r="F9" s="11">
        <f>E9*B9</f>
      </c>
      <c r="G9" s="11">
        <f>IF(C9=0,0,F9/C9)</f>
      </c>
      <c r="H9" s="9">
        <f>F9*PCC/86400</f>
      </c>
      <c r="I9" s="10">
        <f>IF(F9&lt;=0,0,IF(PF_method=2,IF(C9&lt;=0,0,0.01*LOG10(C9)^4-0.19*LOG10(C9)^3+1.4*LOG10(C9)^2-4.66*LOG10(C9)+7.57),PF_a/F9^PF_b))</f>
      </c>
      <c r="J9" s="8">
        <f>I9*H9</f>
      </c>
      <c r="K9" s="9">
        <f>GWI_rate*C9*PortionWet</f>
      </c>
      <c r="L9" s="8">
        <f>IF(C9=0,0,IF(Dens_basis=1,MIN(1,SQRT(G9/Dens_ref)),MIN(1,SQRT(D9/Dens_ref))))</f>
      </c>
      <c r="M9" s="10">
        <f>IF(C9=0,0,I_12*(I_area_ref/C9)^I_area_exp*F_cont)</f>
      </c>
      <c r="N9" s="8">
        <f>C9*L9*IIF_coef*IIF_C*M9</f>
      </c>
      <c r="O9" s="8">
        <f>J9+K9+N9</f>
      </c>
    </row>
    <row r="10">
      <c r="A10" s="3">
        <v>6.0</v>
      </c>
      <c r="B10" s="3">
        <v>175.0</v>
      </c>
      <c r="C10" s="3">
        <v>1.38</v>
      </c>
      <c r="D10" s="10">
        <f>IF(C10=0,0,B10/C10)</f>
      </c>
      <c r="E10" s="10">
        <f>IF(B10=0,0,IF(D10&lt;Dens_low,EP_low,IF(D10&lt;=Dens_high,EP_med,EP_high)))</f>
      </c>
      <c r="F10" s="11">
        <f>E10*B10</f>
      </c>
      <c r="G10" s="11">
        <f>IF(C10=0,0,F10/C10)</f>
      </c>
      <c r="H10" s="9">
        <f>F10*PCC/86400</f>
      </c>
      <c r="I10" s="10">
        <f>IF(F10&lt;=0,0,IF(PF_method=2,IF(C10&lt;=0,0,0.01*LOG10(C10)^4-0.19*LOG10(C10)^3+1.4*LOG10(C10)^2-4.66*LOG10(C10)+7.57),PF_a/F10^PF_b))</f>
      </c>
      <c r="J10" s="8">
        <f>I10*H10</f>
      </c>
      <c r="K10" s="9">
        <f>GWI_rate*C10*PortionWet</f>
      </c>
      <c r="L10" s="8">
        <f>IF(C10=0,0,IF(Dens_basis=1,MIN(1,SQRT(G10/Dens_ref)),MIN(1,SQRT(D10/Dens_ref))))</f>
      </c>
      <c r="M10" s="10">
        <f>IF(C10=0,0,I_12*(I_area_ref/C10)^I_area_exp*F_cont)</f>
      </c>
      <c r="N10" s="8">
        <f>C10*L10*IIF_coef*IIF_C*M10</f>
      </c>
      <c r="O10" s="8">
        <f>J10+K10+N10</f>
      </c>
    </row>
    <row r="11">
      <c r="A11" s="3">
        <v>7.0</v>
      </c>
      <c r="B11" s="3">
        <v>121.0</v>
      </c>
      <c r="C11" s="3">
        <v>1.04</v>
      </c>
      <c r="D11" s="10">
        <f>IF(C11=0,0,B11/C11)</f>
      </c>
      <c r="E11" s="10">
        <f>IF(B11=0,0,IF(D11&lt;Dens_low,EP_low,IF(D11&lt;=Dens_high,EP_med,EP_high)))</f>
      </c>
      <c r="F11" s="11">
        <f>E11*B11</f>
      </c>
      <c r="G11" s="11">
        <f>IF(C11=0,0,F11/C11)</f>
      </c>
      <c r="H11" s="9">
        <f>F11*PCC/86400</f>
      </c>
      <c r="I11" s="10">
        <f>IF(F11&lt;=0,0,IF(PF_method=2,IF(C11&lt;=0,0,0.01*LOG10(C11)^4-0.19*LOG10(C11)^3+1.4*LOG10(C11)^2-4.66*LOG10(C11)+7.57),PF_a/F11^PF_b))</f>
      </c>
      <c r="J11" s="8">
        <f>I11*H11</f>
      </c>
      <c r="K11" s="9">
        <f>GWI_rate*C11*PortionWet</f>
      </c>
      <c r="L11" s="8">
        <f>IF(C11=0,0,IF(Dens_basis=1,MIN(1,SQRT(G11/Dens_ref)),MIN(1,SQRT(D11/Dens_ref))))</f>
      </c>
      <c r="M11" s="10">
        <f>IF(C11=0,0,I_12*(I_area_ref/C11)^I_area_exp*F_cont)</f>
      </c>
      <c r="N11" s="8">
        <f>C11*L11*IIF_coef*IIF_C*M11</f>
      </c>
      <c r="O11" s="8">
        <f>J11+K11+N11</f>
      </c>
    </row>
    <row r="12">
      <c r="A12" s="3">
        <v>8.0</v>
      </c>
      <c r="B12" s="3">
        <v>42.0</v>
      </c>
      <c r="C12" s="3">
        <v>0.358</v>
      </c>
      <c r="D12" s="10">
        <f>IF(C12=0,0,B12/C12)</f>
      </c>
      <c r="E12" s="10">
        <f>IF(B12=0,0,IF(D12&lt;Dens_low,EP_low,IF(D12&lt;=Dens_high,EP_med,EP_high)))</f>
      </c>
      <c r="F12" s="11">
        <f>E12*B12</f>
      </c>
      <c r="G12" s="11">
        <f>IF(C12=0,0,F12/C12)</f>
      </c>
      <c r="H12" s="9">
        <f>F12*PCC/86400</f>
      </c>
      <c r="I12" s="10">
        <f>IF(F12&lt;=0,0,IF(PF_method=2,IF(C12&lt;=0,0,0.01*LOG10(C12)^4-0.19*LOG10(C12)^3+1.4*LOG10(C12)^2-4.66*LOG10(C12)+7.57),PF_a/F12^PF_b))</f>
      </c>
      <c r="J12" s="8">
        <f>I12*H12</f>
      </c>
      <c r="K12" s="9">
        <f>GWI_rate*C12*PortionWet</f>
      </c>
      <c r="L12" s="8">
        <f>IF(C12=0,0,IF(Dens_basis=1,MIN(1,SQRT(G12/Dens_ref)),MIN(1,SQRT(D12/Dens_ref))))</f>
      </c>
      <c r="M12" s="10">
        <f>IF(C12=0,0,I_12*(I_area_ref/C12)^I_area_exp*F_cont)</f>
      </c>
      <c r="N12" s="8">
        <f>C12*L12*IIF_coef*IIF_C*M12</f>
      </c>
      <c r="O12" s="8">
        <f>J12+K12+N12</f>
      </c>
    </row>
    <row r="13">
      <c r="A13" s="3">
        <v>9.0</v>
      </c>
      <c r="B13" s="3">
        <v>30.0</v>
      </c>
      <c r="C13" s="3">
        <v>0.71</v>
      </c>
      <c r="D13" s="10">
        <f>IF(C13=0,0,B13/C13)</f>
      </c>
      <c r="E13" s="10">
        <f>IF(B13=0,0,IF(D13&lt;Dens_low,EP_low,IF(D13&lt;=Dens_high,EP_med,EP_high)))</f>
      </c>
      <c r="F13" s="11">
        <f>E13*B13</f>
      </c>
      <c r="G13" s="11">
        <f>IF(C13=0,0,F13/C13)</f>
      </c>
      <c r="H13" s="9">
        <f>F13*PCC/86400</f>
      </c>
      <c r="I13" s="10">
        <f>IF(F13&lt;=0,0,IF(PF_method=2,IF(C13&lt;=0,0,0.01*LOG10(C13)^4-0.19*LOG10(C13)^3+1.4*LOG10(C13)^2-4.66*LOG10(C13)+7.57),PF_a/F13^PF_b))</f>
      </c>
      <c r="J13" s="8">
        <f>I13*H13</f>
      </c>
      <c r="K13" s="9">
        <f>GWI_rate*C13*PortionWet</f>
      </c>
      <c r="L13" s="8">
        <f>IF(C13=0,0,IF(Dens_basis=1,MIN(1,SQRT(G13/Dens_ref)),MIN(1,SQRT(D13/Dens_ref))))</f>
      </c>
      <c r="M13" s="10">
        <f>IF(C13=0,0,I_12*(I_area_ref/C13)^I_area_exp*F_cont)</f>
      </c>
      <c r="N13" s="8">
        <f>C13*L13*IIF_coef*IIF_C*M13</f>
      </c>
      <c r="O13" s="8">
        <f>J13+K13+N13</f>
      </c>
    </row>
    <row r="14">
      <c r="A14" s="3">
        <v>10.0</v>
      </c>
      <c r="B14" s="3">
        <v>0.0</v>
      </c>
      <c r="C14" s="3">
        <v>3.19</v>
      </c>
      <c r="D14" s="10">
        <f>IF(C14=0,0,B14/C14)</f>
      </c>
      <c r="E14" s="10">
        <f>IF(B14=0,0,IF(D14&lt;Dens_low,EP_low,IF(D14&lt;=Dens_high,EP_med,EP_high)))</f>
      </c>
      <c r="F14" s="11">
        <f>E14*B14</f>
      </c>
      <c r="G14" s="11">
        <f>IF(C14=0,0,F14/C14)</f>
      </c>
      <c r="H14" s="9">
        <f>F14*PCC/86400</f>
      </c>
      <c r="I14" s="10">
        <f>IF(F14&lt;=0,0,IF(PF_method=2,IF(C14&lt;=0,0,0.01*LOG10(C14)^4-0.19*LOG10(C14)^3+1.4*LOG10(C14)^2-4.66*LOG10(C14)+7.57),PF_a/F14^PF_b))</f>
      </c>
      <c r="J14" s="8">
        <f>I14*H14</f>
      </c>
      <c r="K14" s="9">
        <f>GWI_rate*C14*PortionWet</f>
      </c>
      <c r="L14" s="8">
        <f>IF(C14=0,0,IF(Dens_basis=1,MIN(1,SQRT(G14/Dens_ref)),MIN(1,SQRT(D14/Dens_ref))))</f>
      </c>
      <c r="M14" s="10">
        <f>IF(C14=0,0,I_12*(I_area_ref/C14)^I_area_exp*F_cont)</f>
      </c>
      <c r="N14" s="8">
        <f>C14*L14*IIF_coef*IIF_C*M14</f>
      </c>
      <c r="O14" s="8">
        <f>J14+K14+N14</f>
      </c>
    </row>
    <row r="16">
      <c r="A16" s="1" t="inlineStr">
        <is>
          <t xml:space="preserve">Sum of precincts</t>
        </is>
      </c>
      <c r="B16" s="11">
        <f>SUM(B5:B14)</f>
      </c>
      <c r="C16" s="8">
        <f>SUM(C5:C14)</f>
      </c>
      <c r="F16" s="11">
        <f>SUM(F5:F14)</f>
      </c>
      <c r="H16" s="8">
        <f>SUM(H5:H14)</f>
      </c>
      <c r="J16" s="8">
        <f>SUM(J5:J14)</f>
      </c>
      <c r="K16" s="8">
        <f>SUM(K5:K14)</f>
      </c>
      <c r="N16" s="8">
        <f>SUM(N5:N14)</f>
      </c>
      <c r="O16" s="8">
        <f>SUM(O5:O14)</f>
      </c>
    </row>
    <row r="17">
      <c r="A17" s="1" t="inlineStr">
        <is>
          <t xml:space="preserve">Combined system (peaking factor on total EP / total area)</t>
        </is>
      </c>
      <c r="C17" s="10">
        <f>C16</f>
      </c>
      <c r="F17" s="11">
        <f>F16</f>
      </c>
      <c r="H17" s="9">
        <f>H16</f>
      </c>
      <c r="I17" s="10">
        <f>IF(F17&lt;=0,0,IF(PF_method=2,IF(C17&lt;=0,0,0.01*LOG10(C17)^4-0.19*LOG10(C17)^3+1.4*LOG10(C17)^2-4.66*LOG10(C17)+7.57),PF_a/F17^PF_b))</f>
      </c>
      <c r="J17" s="8">
        <f>I17*H17</f>
      </c>
      <c r="K17" s="9">
        <f>K16</f>
      </c>
      <c r="N17" s="8">
        <f>N16</f>
      </c>
      <c r="O17" s="8">
        <f>J17+K17+N17</f>
      </c>
    </row>
    <row r="19">
      <c r="A19" s="5" t="inlineStr">
        <is>
          <t xml:space="preserve">Notes: (1) the peaking factor falls with EP (or area), so summing precinct PDWFs over-estimates the PDWF of the combined catchment - use the 'Combined system' row for a trunk serving all precincts (the original summed PWWF = 28.2 L/s). (2) Precinct 10 (0 dwellings) previously gave #DIV/0!. (3) With the original settings (PF_method 1, Dens_basis 0, PortionWet applied once) precinct 2 gives PDWF 2.75 L/s and PWWF 5.48 L/s (original 5.47 - the 0.01 difference is the GWI double-factor).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32"/>
  <sheetViews>
    <sheetView workbookViewId="0">
      <pane xSplit="2" ySplit="15" topLeftCell="C16" activePane="bottomRight" state="frozen"/>
    </sheetView>
  </sheetViews>
  <sheetFormatPr defaultRowHeight="15"/>
  <cols>
    <col min="1" max="1" width="34" customWidth="1"/>
    <col min="2" max="2" width="8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4" customWidth="1"/>
    <col min="18" max="18" width="10" customWidth="1"/>
    <col min="19" max="19" width="10" customWidth="1"/>
    <col min="20" max="20" width="22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12" customWidth="1"/>
    <col min="32" max="32" width="36" customWidth="1"/>
  </cols>
  <sheetData>
    <row r="1">
      <c r="A1" s="6" t="inlineStr">
        <is>
          <t xml:space="preserve">Minimum and maximum sewer grade by pipe size - Icon Water (ACT) STD-SPE-G-011, supplement to WSA 02-2014 - explicit solution, no Wolfram Alpha</t>
        </is>
      </c>
    </row>
    <row r="2">
      <c r="A2" s="5" t="inlineStr">
        <is>
          <t xml:space="preserve">ACT only. Grades are in % (1.000 = 1 % = 1 in 100). Use 'Solve for' to pick the unknown: Grade (from flow and DN), Flow (from a grade and DN), or Diameter (smallest DN whose minimum grade is no steeper than the grade you can build). The table below is always the grade-from-flow direction for every DN.</t>
        </is>
      </c>
    </row>
    <row r="4">
      <c r="A4" t="inlineStr">
        <is>
          <t xml:space="preserve">Precinct (from 'Peak Flows')</t>
        </is>
      </c>
      <c r="C4" s="3">
        <v>2.0</v>
      </c>
      <c r="E4" s="1" t="inlineStr">
        <is>
          <t xml:space="preserve">Legend:</t>
        </is>
      </c>
      <c r="F4" s="3" t="inlineStr">
        <is>
          <t xml:space="preserve">input</t>
        </is>
      </c>
      <c r="G4" s="4" t="inlineStr">
        <is>
          <t xml:space="preserve">calculated</t>
        </is>
      </c>
      <c r="I4" s="1" t="inlineStr">
        <is>
          <t xml:space="preserve">Solve for</t>
        </is>
      </c>
      <c r="J4" s="3" t="inlineStr">
        <is>
          <t xml:space="preserve">Grade</t>
        </is>
      </c>
    </row>
    <row r="5">
      <c r="A5" t="inlineStr">
        <is>
          <t xml:space="preserve">Manual EP override (0 = use precinct)</t>
        </is>
      </c>
      <c r="C5" s="3">
        <v>0.0</v>
      </c>
      <c r="I5" t="inlineStr">
        <is>
          <t xml:space="preserve">DN</t>
        </is>
      </c>
      <c r="J5" s="3">
        <v>225.0</v>
      </c>
    </row>
    <row r="6">
      <c r="A6" t="inlineStr">
        <is>
          <t xml:space="preserve">Manual PDWF override (L/s, 0 = off)</t>
        </is>
      </c>
      <c r="C6" s="16">
        <v>0.0</v>
      </c>
      <c r="I6" t="inlineStr">
        <is>
          <t xml:space="preserve">Grade (%)  — input for Flow and Diameter</t>
        </is>
      </c>
      <c r="J6" s="7">
        <v>1.0</v>
      </c>
    </row>
    <row r="7">
      <c r="A7" t="inlineStr">
        <is>
          <t xml:space="preserve">Manual PWWF override (L/s, 0 = off)</t>
        </is>
      </c>
      <c r="C7" s="16">
        <v>0.0</v>
      </c>
    </row>
    <row r="8">
      <c r="A8" t="inlineStr">
        <is>
          <t xml:space="preserve">EP used</t>
        </is>
      </c>
      <c r="C8" s="11">
        <f>IF(C6&gt;0,"n/a",IF(C5&gt;0,C5,IFERROR(INDEX('Peak Flows'!$F$5:$F$14,MATCH(C4,'Peak Flows'!$A$5:$A$14,0)),0)))</f>
      </c>
      <c r="I8" s="1" t="inlineStr">
        <is>
          <t xml:space="preserve">Answer</t>
        </is>
      </c>
      <c r="J8" s="4">
        <f>IF($J$4="Grade",INDEX($R$16:$R$25,MATCH($J$5,$A$16:$A$25,0)),IF($J$4="Flow",IF(OR($J$6&lt;=0,$J$5=""),"",IF(Calc!C28&lt;=0,"grade flatter than a full pipe",(1/n_Manning)*(($J$5/1000)^2*(Calc!R28-SIN(Calc!R28))/8)*(Calc!C28^(2/3))*SQRT($J$6/100)*1000)),IF($J$4="Diameter",IFERROR(AGGREGATE(15,6,$A$16:$A$25/(($R$16:$R$25&lt;=$J$6)*(IF(ISNUMBER($Y$16:$Y$25),$Y$16:$Y$25&gt;=$R$16:$R$25,1))*(($AA$16:$AA$25&gt;=PWWF_L_s)+(PWWF_L_s&lt;=0))),1),"none"),"")))</f>
      </c>
    </row>
    <row r="9">
      <c r="A9" t="inlineStr">
        <is>
          <t xml:space="preserve">PDWF used (L/s)</t>
        </is>
      </c>
      <c r="C9" s="8">
        <f>IF(C6&gt;0,C6,IF(C5&gt;0,IF(PF_method=2,"set PF_method=1 or enter PDWF",PF_a*(C5*PCC/86400)/C5^PF_b),IFERROR(INDEX('Peak Flows'!$J$5:$J$14,MATCH(C4,'Peak Flows'!$A$5:$A$14,0)),0)))</f>
      </c>
      <c r="I9" t="inlineStr">
        <is>
          <t xml:space="preserve">What the answer is</t>
        </is>
      </c>
      <c r="J9" s="19">
        <f>IF($J$4="Grade","Governing minimum grade (%) for the DN",IF($J$4="Flow","Qdmp (L/s) at which this grade equals Sss. PDWF = Qdmp/f_sss - (2/3) TPF when that is positive.",IF($J$4="Diameter","Smallest DN whose minimum grade is no steeper than the grade entered, which can still carry PWWF, and whose maximum grade is steeper than its minimum.","")))</f>
      </c>
    </row>
    <row r="10">
      <c r="A10" t="inlineStr">
        <is>
          <t xml:space="preserve">PWWF used (L/s) - capacity check only</t>
        </is>
      </c>
      <c r="C10" s="8">
        <f>IF(C7&gt;0,C7,IF(OR(C6&gt;0,C5&gt;0),0,IFERROR(INDEX('Peak Flows'!$O$5:$O$14,MATCH(C4,'Peak Flows'!$A$5:$A$14,0)),0)))</f>
      </c>
      <c r="I10" t="inlineStr">
        <is>
          <t xml:space="preserve">Also</t>
        </is>
      </c>
      <c r="J10" s="4">
        <f>IF($J$4="Grade",INDEX($T$16:$T$25,MATCH($J$5,$A$16:$A$25,0)),IF($J$4="Flow",IF(ISNUMBER(J8),J8/f_sss-(2/3)*$C$13,""),IF($J$4="Diameter",IF(ISNUMBER(J8),INDEX($R$16:$R$25,MATCH(J8,$A$16:$A$25,0)),""),"")))</f>
      </c>
    </row>
    <row r="11">
      <c r="A11" t="inlineStr">
        <is>
          <t xml:space="preserve">Qdmp = f_sss x (PDWF + 2/3 TPF) (L/s)</t>
        </is>
      </c>
      <c r="C11" s="8">
        <f>f_sss*(C9+(2/3)*C13)</f>
      </c>
      <c r="I11" t="inlineStr">
        <is>
          <t xml:space="preserve">Also means</t>
        </is>
      </c>
      <c r="J11" s="19">
        <f>IF($J$4="Grade","Which criterion governs",IF($J$4="Flow","PDWF (L/s) for that slime-control grade, after pumped flow",IF($J$4="Diameter","That DN's governing minimum grade (%)","")))</f>
      </c>
    </row>
    <row r="12">
      <c r="A12" t="inlineStr">
        <is>
          <t xml:space="preserve">Q for self-cleansing = same Qdmp (L/s)</t>
        </is>
      </c>
      <c r="C12" s="8">
        <f>C11</f>
      </c>
      <c r="I12" t="inlineStr">
        <is>
          <t xml:space="preserve">Self-cleansing flow at the same grade (L/s Qdmp)</t>
        </is>
      </c>
      <c r="J12" s="4">
        <f>IF($J$4="Flow",IF(OR($J$6&lt;=0,$J$5=""),"",IF(Calc!C29&lt;=0,"grade flatter than a full pipe",(1/n_Manning)*(($J$5/1000)^2*(Calc!R29-SIN(Calc!R29))/8)*(Calc!C29^(2/3))*SQRT($J$6/100)*1000)),"")</f>
      </c>
    </row>
    <row r="13">
      <c r="A13" t="inlineStr">
        <is>
          <t xml:space="preserve">Total pumped flow TPF (L/s, 0 if none)</t>
        </is>
      </c>
      <c r="C13" s="16">
        <v>0.0</v>
      </c>
    </row>
    <row r="14">
      <c r="A14" t="inlineStr">
        <is>
          <t xml:space="preserve">DN150 only: ultimate houses draining to the line</t>
        </is>
      </c>
      <c r="C14" s="20" t="inlineStr">
        <is>
          <t xml:space="preserve">Sulphide slime control  Sss = K_sss / Rp  at f_sss x PDWF  (Eq IW.5.5.3.2 / 3.3)</t>
        </is>
      </c>
      <c r="K14" s="20" t="inlineStr">
        <is>
          <t xml:space="preserve">Self-cleansing  Ssc = K_sc / Rp  at f_sc x PDWF  (Eq IW.5.5.3.1 - verify K_sc)</t>
        </is>
      </c>
      <c r="Q14" s="20" t="inlineStr">
        <is>
          <t xml:space="preserve">Governing minimum grade</t>
        </is>
      </c>
      <c r="U14" s="20" t="inlineStr">
        <is>
          <t xml:space="preserve">Maximum grade  (V = V_max at PDWF, IW.5.5.4)</t>
        </is>
      </c>
      <c r="AA14" s="20" t="inlineStr">
        <is>
          <t xml:space="preserve">Capacity check at the governing minimum grade (PWWF)</t>
        </is>
      </c>
    </row>
    <row r="15">
      <c r="A15" s="2" t="inlineStr">
        <is>
          <t xml:space="preserve">DN</t>
        </is>
      </c>
      <c r="B15" s="2" t="inlineStr">
        <is>
          <t xml:space="preserve">D (m)</t>
        </is>
      </c>
      <c r="C15" s="2" t="inlineStr">
        <is>
          <t xml:space="preserve">Q75 (L/s)</t>
        </is>
      </c>
      <c r="D15" s="2" t="inlineStr">
        <is>
          <t xml:space="preserve">theta (rad)</t>
        </is>
      </c>
      <c r="E15" s="2" t="inlineStr">
        <is>
          <t xml:space="preserve">y (mm)</t>
        </is>
      </c>
      <c r="F15" s="2" t="inlineStr">
        <is>
          <t xml:space="preserve">y/D</t>
        </is>
      </c>
      <c r="G15" s="2" t="inlineStr">
        <is>
          <t xml:space="preserve">Rp (m)</t>
        </is>
      </c>
      <c r="H15" s="2" t="inlineStr">
        <is>
          <t xml:space="preserve">V (m/s)</t>
        </is>
      </c>
      <c r="I15" s="2" t="inlineStr">
        <is>
          <t xml:space="preserve">Sss (%)</t>
        </is>
      </c>
      <c r="J15" s="2" t="inlineStr">
        <is>
          <t xml:space="preserve">Sss (1 in)</t>
        </is>
      </c>
      <c r="K15" s="2" t="inlineStr">
        <is>
          <t xml:space="preserve">Qsc (L/s)</t>
        </is>
      </c>
      <c r="L15" s="2" t="inlineStr">
        <is>
          <t xml:space="preserve">theta (rad)</t>
        </is>
      </c>
      <c r="M15" s="2" t="inlineStr">
        <is>
          <t xml:space="preserve">y/D</t>
        </is>
      </c>
      <c r="N15" s="2" t="inlineStr">
        <is>
          <t xml:space="preserve">Rp (m)</t>
        </is>
      </c>
      <c r="O15" s="2" t="inlineStr">
        <is>
          <t xml:space="preserve">V (m/s)</t>
        </is>
      </c>
      <c r="P15" s="2" t="inlineStr">
        <is>
          <t xml:space="preserve">Ssc (%)</t>
        </is>
      </c>
      <c r="Q15" s="2" t="inlineStr">
        <is>
          <t xml:space="preserve">Absolute min (%)  80/ID or Table IW.4</t>
        </is>
      </c>
      <c r="R15" s="2" t="inlineStr">
        <is>
          <t xml:space="preserve">Governing Smin (%)</t>
        </is>
      </c>
      <c r="S15" s="2" t="inlineStr">
        <is>
          <t xml:space="preserve">Smin (1 in)</t>
        </is>
      </c>
      <c r="T15" s="2" t="inlineStr">
        <is>
          <t xml:space="preserve">Governing criterion</t>
        </is>
      </c>
      <c r="U15" s="2" t="inlineStr">
        <is>
          <t xml:space="preserve">A = PDWF/V_max (m2)</t>
        </is>
      </c>
      <c r="V15" s="2" t="inlineStr">
        <is>
          <t xml:space="preserve">theta (rad)</t>
        </is>
      </c>
      <c r="W15" s="2" t="inlineStr">
        <is>
          <t xml:space="preserve">y/D</t>
        </is>
      </c>
      <c r="X15" s="2" t="inlineStr">
        <is>
          <t xml:space="preserve">R (m)</t>
        </is>
      </c>
      <c r="Y15" s="2" t="inlineStr">
        <is>
          <t xml:space="preserve">Smax (%)</t>
        </is>
      </c>
      <c r="Z15" s="2" t="inlineStr">
        <is>
          <t xml:space="preserve">Smax (1 in)</t>
        </is>
      </c>
      <c r="AA15" s="2" t="inlineStr">
        <is>
          <t xml:space="preserve">Q full at Smin (L/s)</t>
        </is>
      </c>
      <c r="AB15" s="2" t="inlineStr">
        <is>
          <t xml:space="preserve">PWWF / Qfull</t>
        </is>
      </c>
      <c r="AC15" s="2" t="inlineStr">
        <is>
          <t xml:space="preserve">y/D at PWWF</t>
        </is>
      </c>
      <c r="AD15" s="2" t="inlineStr">
        <is>
          <t xml:space="preserve">V at PWWF (m/s)</t>
        </is>
      </c>
      <c r="AE15" s="2" t="inlineStr">
        <is>
          <t xml:space="preserve">PDWF / Qfull</t>
        </is>
      </c>
      <c r="AF15" s="2" t="inlineStr">
        <is>
          <t xml:space="preserve">Status</t>
        </is>
      </c>
    </row>
    <row r="16">
      <c r="A16" s="3">
        <v>150.0</v>
      </c>
      <c r="B16" s="13">
        <f>A16/1000</f>
      </c>
      <c r="C16" s="13">
        <f>$C$11</f>
      </c>
      <c r="D16" s="14">
        <f>Calc!R16</f>
      </c>
      <c r="E16" s="11">
        <f>IF(D16=0,"",$B16/2*(1-COS(D16/2))*1000)</f>
      </c>
      <c r="F16" s="8">
        <f>IF(D16=0,"",(1-COS(D16/2))/2)</f>
      </c>
      <c r="G16" s="9">
        <f>IF(D16=0,"",($B16/4)*(1-SIN(D16)/D16))</f>
      </c>
      <c r="H16" s="10">
        <f>IF(D16=0,"",(C16/1000)/($B16^2*(D16-SIN(D16))/8))</f>
      </c>
      <c r="I16" s="8">
        <f>IF(D16=0,"",K_sss/G16)</f>
      </c>
      <c r="J16" s="12">
        <f>IF(D16=0,"",100/I16)</f>
      </c>
      <c r="K16" s="13">
        <f>$C$12</f>
      </c>
      <c r="L16" s="14">
        <f>Calc!AI16</f>
      </c>
      <c r="M16" s="8">
        <f>IF(L16=0,"",(1-COS(L16/2))/2)</f>
      </c>
      <c r="N16" s="9">
        <f>IF(L16=0,"",($B16/4)*(1-SIN(L16)/L16))</f>
      </c>
      <c r="O16" s="10">
        <f>IF(L16=0,"",(K16/1000)/($B16^2*(L16-SIN(L16))/8))</f>
      </c>
      <c r="P16" s="8">
        <f>IF(L16=0,"",K_sc/N16)</f>
      </c>
      <c r="Q16" s="8">
        <f>IF(A16&lt;=150,IF($C$14&gt;=35,0.7,IF($C$14&gt;=28,0.8,IF($C$14&gt;=18,0.9,IF($C$14&gt;=12,1,IF($C$14&gt;=7,1.1,IF($C$14&gt;=2,1.2,IF($C$14&gt;=1,1.25,""))))))),80/A16)</f>
      </c>
      <c r="R16" s="8">
        <f>IF(A16&lt;=150,IF(ISNUMBER(Q16),Q16,""),MAX(IF(ISNUMBER(I16),I16,0),IF(ISNUMBER(P16),P16,0),IF(ISNUMBER(Q16),Q16,0)))</f>
      </c>
      <c r="S16" s="12">
        <f>IF(OR(R16="",R16&lt;=0),"",100/R16)</f>
      </c>
      <c r="T16" s="19">
        <f>IF(A16&lt;=150,"DN150 Table IW.4",IF(OR(R16="",R16&lt;=0),"no flow",IF(R16=Q16,"Absolute minimum (80/ID)",IF(AND(ISNUMBER(I16),R16=I16),"Slime control (Sss)","Self-cleansing (Ssc)"))))</f>
      </c>
      <c r="U16" s="14">
        <f>IF(PDWF_L_s&lt;=0,"",(PDWF_L_s/1000)/V_max)</f>
      </c>
      <c r="V16" s="14">
        <f>Calc!AZ16</f>
      </c>
      <c r="W16" s="8">
        <f>IF(V16=0,"",(1-COS(V16/2))/2)</f>
      </c>
      <c r="X16" s="9">
        <f>IF(V16=0,"",($B16/4)*(1-SIN(V16)/V16))</f>
      </c>
      <c r="Y16" s="8">
        <f>IF(V16=0,"",IF(U16&gt;=PI()*$B16^2/4,"n/a - full",((V_max*n_Manning)/(X16^(2/3)))^2*100))</f>
      </c>
      <c r="Z16" s="12">
        <f>IF(ISNUMBER(Y16),100/Y16,"")</f>
      </c>
      <c r="AA16" s="10">
        <f>IF(R16&lt;=0,"",(1/n_Manning)*(PI()*$B16^2/4)*($B16/4)^(2/3)*SQRT(R16/100)*1000)</f>
      </c>
      <c r="AB16" s="10">
        <f>IF(OR(PWWF_L_s&lt;=0,R16&lt;=0),"",PWWF_L_s/AA16)</f>
      </c>
      <c r="AC16" s="8">
        <f>IF(OR(PWWF_L_s&lt;=0,R16&lt;=0),"",IF(AB16&gt;=1,"&gt;1 (full)",(1-COS(Calc!BQ16/2))/2))</f>
      </c>
      <c r="AD16" s="10">
        <f>IF(OR(PWWF_L_s&lt;=0,R16&lt;=0),"",IF(AB16&gt;=1,PWWF_L_s/1000/(PI()*$B16^2/4),(PWWF_L_s/1000)/($B16^2*(Calc!BQ16-SIN(Calc!BQ16))/8)))</f>
      </c>
      <c r="AE16" s="10">
        <f>IF(OR(PDWF_L_s&lt;=0,R16&lt;=0),"",PDWF_L_s/AA16)</f>
      </c>
      <c r="AF16" s="19">
        <f>IF(PDWF_L_s&lt;=0,"enter flow",IF(OR(F16&gt;0.95,M16&gt;0.95),"Pipe too small for PDWF",IF(AND(ISNUMBER(Y16),Y16&lt;R16),"Smax &lt; Smin - pipe too large for flow",IF(PWWF_L_s&lt;=0,"PWWF not set",IF(AB16&gt;1,"SURCHARGED at Smin - size up or steepen","OK")))))</f>
      </c>
    </row>
    <row r="17">
      <c r="A17" s="3">
        <v>225.0</v>
      </c>
      <c r="B17" s="13">
        <f>A17/1000</f>
      </c>
      <c r="C17" s="13">
        <f>$C$11</f>
      </c>
      <c r="D17" s="14">
        <f>Calc!R17</f>
      </c>
      <c r="E17" s="11">
        <f>IF(D17=0,"",$B17/2*(1-COS(D17/2))*1000)</f>
      </c>
      <c r="F17" s="8">
        <f>IF(D17=0,"",(1-COS(D17/2))/2)</f>
      </c>
      <c r="G17" s="9">
        <f>IF(D17=0,"",($B17/4)*(1-SIN(D17)/D17))</f>
      </c>
      <c r="H17" s="10">
        <f>IF(D17=0,"",(C17/1000)/($B17^2*(D17-SIN(D17))/8))</f>
      </c>
      <c r="I17" s="8">
        <f>IF(D17=0,"",K_sss/G17)</f>
      </c>
      <c r="J17" s="12">
        <f>IF(D17=0,"",100/I17)</f>
      </c>
      <c r="K17" s="13">
        <f>$C$12</f>
      </c>
      <c r="L17" s="14">
        <f>Calc!AI17</f>
      </c>
      <c r="M17" s="8">
        <f>IF(L17=0,"",(1-COS(L17/2))/2)</f>
      </c>
      <c r="N17" s="9">
        <f>IF(L17=0,"",($B17/4)*(1-SIN(L17)/L17))</f>
      </c>
      <c r="O17" s="10">
        <f>IF(L17=0,"",(K17/1000)/($B17^2*(L17-SIN(L17))/8))</f>
      </c>
      <c r="P17" s="8">
        <f>IF(L17=0,"",K_sc/N17)</f>
      </c>
      <c r="Q17" s="8">
        <f>IF(A17&lt;=150,IF($C$14&gt;=35,0.7,IF($C$14&gt;=28,0.8,IF($C$14&gt;=18,0.9,IF($C$14&gt;=12,1,IF($C$14&gt;=7,1.1,IF($C$14&gt;=2,1.2,IF($C$14&gt;=1,1.25,""))))))),80/A17)</f>
      </c>
      <c r="R17" s="8">
        <f>IF(A17&lt;=150,IF(ISNUMBER(Q17),Q17,""),MAX(IF(ISNUMBER(I17),I17,0),IF(ISNUMBER(P17),P17,0),IF(ISNUMBER(Q17),Q17,0)))</f>
      </c>
      <c r="S17" s="12">
        <f>IF(OR(R17="",R17&lt;=0),"",100/R17)</f>
      </c>
      <c r="T17" s="19">
        <f>IF(A17&lt;=150,"DN150 Table IW.4",IF(OR(R17="",R17&lt;=0),"no flow",IF(R17=Q17,"Absolute minimum (80/ID)",IF(AND(ISNUMBER(I17),R17=I17),"Slime control (Sss)","Self-cleansing (Ssc)"))))</f>
      </c>
      <c r="U17" s="14">
        <f>IF(PDWF_L_s&lt;=0,"",(PDWF_L_s/1000)/V_max)</f>
      </c>
      <c r="V17" s="14">
        <f>Calc!AZ17</f>
      </c>
      <c r="W17" s="8">
        <f>IF(V17=0,"",(1-COS(V17/2))/2)</f>
      </c>
      <c r="X17" s="9">
        <f>IF(V17=0,"",($B17/4)*(1-SIN(V17)/V17))</f>
      </c>
      <c r="Y17" s="8">
        <f>IF(V17=0,"",IF(U17&gt;=PI()*$B17^2/4,"n/a - full",((V_max*n_Manning)/(X17^(2/3)))^2*100))</f>
      </c>
      <c r="Z17" s="12">
        <f>IF(ISNUMBER(Y17),100/Y17,"")</f>
      </c>
      <c r="AA17" s="10">
        <f>IF(R17&lt;=0,"",(1/n_Manning)*(PI()*$B17^2/4)*($B17/4)^(2/3)*SQRT(R17/100)*1000)</f>
      </c>
      <c r="AB17" s="10">
        <f>IF(OR(PWWF_L_s&lt;=0,R17&lt;=0),"",PWWF_L_s/AA17)</f>
      </c>
      <c r="AC17" s="8">
        <f>IF(OR(PWWF_L_s&lt;=0,R17&lt;=0),"",IF(AB17&gt;=1,"&gt;1 (full)",(1-COS(Calc!BQ17/2))/2))</f>
      </c>
      <c r="AD17" s="10">
        <f>IF(OR(PWWF_L_s&lt;=0,R17&lt;=0),"",IF(AB17&gt;=1,PWWF_L_s/1000/(PI()*$B17^2/4),(PWWF_L_s/1000)/($B17^2*(Calc!BQ17-SIN(Calc!BQ17))/8)))</f>
      </c>
      <c r="AE17" s="10">
        <f>IF(OR(PDWF_L_s&lt;=0,R17&lt;=0),"",PDWF_L_s/AA17)</f>
      </c>
      <c r="AF17" s="19">
        <f>IF(PDWF_L_s&lt;=0,"enter flow",IF(OR(F17&gt;0.95,M17&gt;0.95),"Pipe too small for PDWF",IF(AND(ISNUMBER(Y17),Y17&lt;R17),"Smax &lt; Smin - pipe too large for flow",IF(PWWF_L_s&lt;=0,"PWWF not set",IF(AB17&gt;1,"SURCHARGED at Smin - size up or steepen","OK")))))</f>
      </c>
    </row>
    <row r="18">
      <c r="A18" s="3">
        <v>300.0</v>
      </c>
      <c r="B18" s="13">
        <f>A18/1000</f>
      </c>
      <c r="C18" s="13">
        <f>$C$11</f>
      </c>
      <c r="D18" s="14">
        <f>Calc!R18</f>
      </c>
      <c r="E18" s="11">
        <f>IF(D18=0,"",$B18/2*(1-COS(D18/2))*1000)</f>
      </c>
      <c r="F18" s="8">
        <f>IF(D18=0,"",(1-COS(D18/2))/2)</f>
      </c>
      <c r="G18" s="9">
        <f>IF(D18=0,"",($B18/4)*(1-SIN(D18)/D18))</f>
      </c>
      <c r="H18" s="10">
        <f>IF(D18=0,"",(C18/1000)/($B18^2*(D18-SIN(D18))/8))</f>
      </c>
      <c r="I18" s="8">
        <f>IF(D18=0,"",K_sss/G18)</f>
      </c>
      <c r="J18" s="12">
        <f>IF(D18=0,"",100/I18)</f>
      </c>
      <c r="K18" s="13">
        <f>$C$12</f>
      </c>
      <c r="L18" s="14">
        <f>Calc!AI18</f>
      </c>
      <c r="M18" s="8">
        <f>IF(L18=0,"",(1-COS(L18/2))/2)</f>
      </c>
      <c r="N18" s="9">
        <f>IF(L18=0,"",($B18/4)*(1-SIN(L18)/L18))</f>
      </c>
      <c r="O18" s="10">
        <f>IF(L18=0,"",(K18/1000)/($B18^2*(L18-SIN(L18))/8))</f>
      </c>
      <c r="P18" s="8">
        <f>IF(L18=0,"",K_sc/N18)</f>
      </c>
      <c r="Q18" s="8">
        <f>IF(A18&lt;=150,IF($C$14&gt;=35,0.7,IF($C$14&gt;=28,0.8,IF($C$14&gt;=18,0.9,IF($C$14&gt;=12,1,IF($C$14&gt;=7,1.1,IF($C$14&gt;=2,1.2,IF($C$14&gt;=1,1.25,""))))))),80/A18)</f>
      </c>
      <c r="R18" s="8">
        <f>IF(A18&lt;=150,IF(ISNUMBER(Q18),Q18,""),MAX(IF(ISNUMBER(I18),I18,0),IF(ISNUMBER(P18),P18,0),IF(ISNUMBER(Q18),Q18,0)))</f>
      </c>
      <c r="S18" s="12">
        <f>IF(OR(R18="",R18&lt;=0),"",100/R18)</f>
      </c>
      <c r="T18" s="19">
        <f>IF(A18&lt;=150,"DN150 Table IW.4",IF(OR(R18="",R18&lt;=0),"no flow",IF(R18=Q18,"Absolute minimum (80/ID)",IF(AND(ISNUMBER(I18),R18=I18),"Slime control (Sss)","Self-cleansing (Ssc)"))))</f>
      </c>
      <c r="U18" s="14">
        <f>IF(PDWF_L_s&lt;=0,"",(PDWF_L_s/1000)/V_max)</f>
      </c>
      <c r="V18" s="14">
        <f>Calc!AZ18</f>
      </c>
      <c r="W18" s="8">
        <f>IF(V18=0,"",(1-COS(V18/2))/2)</f>
      </c>
      <c r="X18" s="9">
        <f>IF(V18=0,"",($B18/4)*(1-SIN(V18)/V18))</f>
      </c>
      <c r="Y18" s="8">
        <f>IF(V18=0,"",IF(U18&gt;=PI()*$B18^2/4,"n/a - full",((V_max*n_Manning)/(X18^(2/3)))^2*100))</f>
      </c>
      <c r="Z18" s="12">
        <f>IF(ISNUMBER(Y18),100/Y18,"")</f>
      </c>
      <c r="AA18" s="10">
        <f>IF(R18&lt;=0,"",(1/n_Manning)*(PI()*$B18^2/4)*($B18/4)^(2/3)*SQRT(R18/100)*1000)</f>
      </c>
      <c r="AB18" s="10">
        <f>IF(OR(PWWF_L_s&lt;=0,R18&lt;=0),"",PWWF_L_s/AA18)</f>
      </c>
      <c r="AC18" s="8">
        <f>IF(OR(PWWF_L_s&lt;=0,R18&lt;=0),"",IF(AB18&gt;=1,"&gt;1 (full)",(1-COS(Calc!BQ18/2))/2))</f>
      </c>
      <c r="AD18" s="10">
        <f>IF(OR(PWWF_L_s&lt;=0,R18&lt;=0),"",IF(AB18&gt;=1,PWWF_L_s/1000/(PI()*$B18^2/4),(PWWF_L_s/1000)/($B18^2*(Calc!BQ18-SIN(Calc!BQ18))/8)))</f>
      </c>
      <c r="AE18" s="10">
        <f>IF(OR(PDWF_L_s&lt;=0,R18&lt;=0),"",PDWF_L_s/AA18)</f>
      </c>
      <c r="AF18" s="19">
        <f>IF(PDWF_L_s&lt;=0,"enter flow",IF(OR(F18&gt;0.95,M18&gt;0.95),"Pipe too small for PDWF",IF(AND(ISNUMBER(Y18),Y18&lt;R18),"Smax &lt; Smin - pipe too large for flow",IF(PWWF_L_s&lt;=0,"PWWF not set",IF(AB18&gt;1,"SURCHARGED at Smin - size up or steepen","OK")))))</f>
      </c>
    </row>
    <row r="19">
      <c r="A19" s="3">
        <v>375.0</v>
      </c>
      <c r="B19" s="13">
        <f>A19/1000</f>
      </c>
      <c r="C19" s="13">
        <f>$C$11</f>
      </c>
      <c r="D19" s="14">
        <f>Calc!R19</f>
      </c>
      <c r="E19" s="11">
        <f>IF(D19=0,"",$B19/2*(1-COS(D19/2))*1000)</f>
      </c>
      <c r="F19" s="8">
        <f>IF(D19=0,"",(1-COS(D19/2))/2)</f>
      </c>
      <c r="G19" s="9">
        <f>IF(D19=0,"",($B19/4)*(1-SIN(D19)/D19))</f>
      </c>
      <c r="H19" s="10">
        <f>IF(D19=0,"",(C19/1000)/($B19^2*(D19-SIN(D19))/8))</f>
      </c>
      <c r="I19" s="8">
        <f>IF(D19=0,"",K_sss/G19)</f>
      </c>
      <c r="J19" s="12">
        <f>IF(D19=0,"",100/I19)</f>
      </c>
      <c r="K19" s="13">
        <f>$C$12</f>
      </c>
      <c r="L19" s="14">
        <f>Calc!AI19</f>
      </c>
      <c r="M19" s="8">
        <f>IF(L19=0,"",(1-COS(L19/2))/2)</f>
      </c>
      <c r="N19" s="9">
        <f>IF(L19=0,"",($B19/4)*(1-SIN(L19)/L19))</f>
      </c>
      <c r="O19" s="10">
        <f>IF(L19=0,"",(K19/1000)/($B19^2*(L19-SIN(L19))/8))</f>
      </c>
      <c r="P19" s="8">
        <f>IF(L19=0,"",K_sc/N19)</f>
      </c>
      <c r="Q19" s="8">
        <f>IF(A19&lt;=150,IF($C$14&gt;=35,0.7,IF($C$14&gt;=28,0.8,IF($C$14&gt;=18,0.9,IF($C$14&gt;=12,1,IF($C$14&gt;=7,1.1,IF($C$14&gt;=2,1.2,IF($C$14&gt;=1,1.25,""))))))),80/A19)</f>
      </c>
      <c r="R19" s="8">
        <f>IF(A19&lt;=150,IF(ISNUMBER(Q19),Q19,""),MAX(IF(ISNUMBER(I19),I19,0),IF(ISNUMBER(P19),P19,0),IF(ISNUMBER(Q19),Q19,0)))</f>
      </c>
      <c r="S19" s="12">
        <f>IF(OR(R19="",R19&lt;=0),"",100/R19)</f>
      </c>
      <c r="T19" s="19">
        <f>IF(A19&lt;=150,"DN150 Table IW.4",IF(OR(R19="",R19&lt;=0),"no flow",IF(R19=Q19,"Absolute minimum (80/ID)",IF(AND(ISNUMBER(I19),R19=I19),"Slime control (Sss)","Self-cleansing (Ssc)"))))</f>
      </c>
      <c r="U19" s="14">
        <f>IF(PDWF_L_s&lt;=0,"",(PDWF_L_s/1000)/V_max)</f>
      </c>
      <c r="V19" s="14">
        <f>Calc!AZ19</f>
      </c>
      <c r="W19" s="8">
        <f>IF(V19=0,"",(1-COS(V19/2))/2)</f>
      </c>
      <c r="X19" s="9">
        <f>IF(V19=0,"",($B19/4)*(1-SIN(V19)/V19))</f>
      </c>
      <c r="Y19" s="8">
        <f>IF(V19=0,"",IF(U19&gt;=PI()*$B19^2/4,"n/a - full",((V_max*n_Manning)/(X19^(2/3)))^2*100))</f>
      </c>
      <c r="Z19" s="12">
        <f>IF(ISNUMBER(Y19),100/Y19,"")</f>
      </c>
      <c r="AA19" s="10">
        <f>IF(R19&lt;=0,"",(1/n_Manning)*(PI()*$B19^2/4)*($B19/4)^(2/3)*SQRT(R19/100)*1000)</f>
      </c>
      <c r="AB19" s="10">
        <f>IF(OR(PWWF_L_s&lt;=0,R19&lt;=0),"",PWWF_L_s/AA19)</f>
      </c>
      <c r="AC19" s="8">
        <f>IF(OR(PWWF_L_s&lt;=0,R19&lt;=0),"",IF(AB19&gt;=1,"&gt;1 (full)",(1-COS(Calc!BQ19/2))/2))</f>
      </c>
      <c r="AD19" s="10">
        <f>IF(OR(PWWF_L_s&lt;=0,R19&lt;=0),"",IF(AB19&gt;=1,PWWF_L_s/1000/(PI()*$B19^2/4),(PWWF_L_s/1000)/($B19^2*(Calc!BQ19-SIN(Calc!BQ19))/8)))</f>
      </c>
      <c r="AE19" s="10">
        <f>IF(OR(PDWF_L_s&lt;=0,R19&lt;=0),"",PDWF_L_s/AA19)</f>
      </c>
      <c r="AF19" s="19">
        <f>IF(PDWF_L_s&lt;=0,"enter flow",IF(OR(F19&gt;0.95,M19&gt;0.95),"Pipe too small for PDWF",IF(AND(ISNUMBER(Y19),Y19&lt;R19),"Smax &lt; Smin - pipe too large for flow",IF(PWWF_L_s&lt;=0,"PWWF not set",IF(AB19&gt;1,"SURCHARGED at Smin - size up or steepen","OK")))))</f>
      </c>
    </row>
    <row r="20">
      <c r="A20" s="3">
        <v>450.0</v>
      </c>
      <c r="B20" s="13">
        <f>A20/1000</f>
      </c>
      <c r="C20" s="13">
        <f>$C$11</f>
      </c>
      <c r="D20" s="14">
        <f>Calc!R20</f>
      </c>
      <c r="E20" s="11">
        <f>IF(D20=0,"",$B20/2*(1-COS(D20/2))*1000)</f>
      </c>
      <c r="F20" s="8">
        <f>IF(D20=0,"",(1-COS(D20/2))/2)</f>
      </c>
      <c r="G20" s="9">
        <f>IF(D20=0,"",($B20/4)*(1-SIN(D20)/D20))</f>
      </c>
      <c r="H20" s="10">
        <f>IF(D20=0,"",(C20/1000)/($B20^2*(D20-SIN(D20))/8))</f>
      </c>
      <c r="I20" s="8">
        <f>IF(D20=0,"",K_sss/G20)</f>
      </c>
      <c r="J20" s="12">
        <f>IF(D20=0,"",100/I20)</f>
      </c>
      <c r="K20" s="13">
        <f>$C$12</f>
      </c>
      <c r="L20" s="14">
        <f>Calc!AI20</f>
      </c>
      <c r="M20" s="8">
        <f>IF(L20=0,"",(1-COS(L20/2))/2)</f>
      </c>
      <c r="N20" s="9">
        <f>IF(L20=0,"",($B20/4)*(1-SIN(L20)/L20))</f>
      </c>
      <c r="O20" s="10">
        <f>IF(L20=0,"",(K20/1000)/($B20^2*(L20-SIN(L20))/8))</f>
      </c>
      <c r="P20" s="8">
        <f>IF(L20=0,"",K_sc/N20)</f>
      </c>
      <c r="Q20" s="8">
        <f>IF(A20&lt;=150,IF($C$14&gt;=35,0.7,IF($C$14&gt;=28,0.8,IF($C$14&gt;=18,0.9,IF($C$14&gt;=12,1,IF($C$14&gt;=7,1.1,IF($C$14&gt;=2,1.2,IF($C$14&gt;=1,1.25,""))))))),80/A20)</f>
      </c>
      <c r="R20" s="8">
        <f>IF(A20&lt;=150,IF(ISNUMBER(Q20),Q20,""),MAX(IF(ISNUMBER(I20),I20,0),IF(ISNUMBER(P20),P20,0),IF(ISNUMBER(Q20),Q20,0)))</f>
      </c>
      <c r="S20" s="12">
        <f>IF(OR(R20="",R20&lt;=0),"",100/R20)</f>
      </c>
      <c r="T20" s="19">
        <f>IF(A20&lt;=150,"DN150 Table IW.4",IF(OR(R20="",R20&lt;=0),"no flow",IF(R20=Q20,"Absolute minimum (80/ID)",IF(AND(ISNUMBER(I20),R20=I20),"Slime control (Sss)","Self-cleansing (Ssc)"))))</f>
      </c>
      <c r="U20" s="14">
        <f>IF(PDWF_L_s&lt;=0,"",(PDWF_L_s/1000)/V_max)</f>
      </c>
      <c r="V20" s="14">
        <f>Calc!AZ20</f>
      </c>
      <c r="W20" s="8">
        <f>IF(V20=0,"",(1-COS(V20/2))/2)</f>
      </c>
      <c r="X20" s="9">
        <f>IF(V20=0,"",($B20/4)*(1-SIN(V20)/V20))</f>
      </c>
      <c r="Y20" s="8">
        <f>IF(V20=0,"",IF(U20&gt;=PI()*$B20^2/4,"n/a - full",((V_max*n_Manning)/(X20^(2/3)))^2*100))</f>
      </c>
      <c r="Z20" s="12">
        <f>IF(ISNUMBER(Y20),100/Y20,"")</f>
      </c>
      <c r="AA20" s="10">
        <f>IF(R20&lt;=0,"",(1/n_Manning)*(PI()*$B20^2/4)*($B20/4)^(2/3)*SQRT(R20/100)*1000)</f>
      </c>
      <c r="AB20" s="10">
        <f>IF(OR(PWWF_L_s&lt;=0,R20&lt;=0),"",PWWF_L_s/AA20)</f>
      </c>
      <c r="AC20" s="8">
        <f>IF(OR(PWWF_L_s&lt;=0,R20&lt;=0),"",IF(AB20&gt;=1,"&gt;1 (full)",(1-COS(Calc!BQ20/2))/2))</f>
      </c>
      <c r="AD20" s="10">
        <f>IF(OR(PWWF_L_s&lt;=0,R20&lt;=0),"",IF(AB20&gt;=1,PWWF_L_s/1000/(PI()*$B20^2/4),(PWWF_L_s/1000)/($B20^2*(Calc!BQ20-SIN(Calc!BQ20))/8)))</f>
      </c>
      <c r="AE20" s="10">
        <f>IF(OR(PDWF_L_s&lt;=0,R20&lt;=0),"",PDWF_L_s/AA20)</f>
      </c>
      <c r="AF20" s="19">
        <f>IF(PDWF_L_s&lt;=0,"enter flow",IF(OR(F20&gt;0.95,M20&gt;0.95),"Pipe too small for PDWF",IF(AND(ISNUMBER(Y20),Y20&lt;R20),"Smax &lt; Smin - pipe too large for flow",IF(PWWF_L_s&lt;=0,"PWWF not set",IF(AB20&gt;1,"SURCHARGED at Smin - size up or steepen","OK")))))</f>
      </c>
    </row>
    <row r="21">
      <c r="A21" s="3">
        <v>525.0</v>
      </c>
      <c r="B21" s="13">
        <f>A21/1000</f>
      </c>
      <c r="C21" s="13">
        <f>$C$11</f>
      </c>
      <c r="D21" s="14">
        <f>Calc!R21</f>
      </c>
      <c r="E21" s="11">
        <f>IF(D21=0,"",$B21/2*(1-COS(D21/2))*1000)</f>
      </c>
      <c r="F21" s="8">
        <f>IF(D21=0,"",(1-COS(D21/2))/2)</f>
      </c>
      <c r="G21" s="9">
        <f>IF(D21=0,"",($B21/4)*(1-SIN(D21)/D21))</f>
      </c>
      <c r="H21" s="10">
        <f>IF(D21=0,"",(C21/1000)/($B21^2*(D21-SIN(D21))/8))</f>
      </c>
      <c r="I21" s="8">
        <f>IF(D21=0,"",K_sss/G21)</f>
      </c>
      <c r="J21" s="12">
        <f>IF(D21=0,"",100/I21)</f>
      </c>
      <c r="K21" s="13">
        <f>$C$12</f>
      </c>
      <c r="L21" s="14">
        <f>Calc!AI21</f>
      </c>
      <c r="M21" s="8">
        <f>IF(L21=0,"",(1-COS(L21/2))/2)</f>
      </c>
      <c r="N21" s="9">
        <f>IF(L21=0,"",($B21/4)*(1-SIN(L21)/L21))</f>
      </c>
      <c r="O21" s="10">
        <f>IF(L21=0,"",(K21/1000)/($B21^2*(L21-SIN(L21))/8))</f>
      </c>
      <c r="P21" s="8">
        <f>IF(L21=0,"",K_sc/N21)</f>
      </c>
      <c r="Q21" s="8">
        <f>IF(A21&lt;=150,IF($C$14&gt;=35,0.7,IF($C$14&gt;=28,0.8,IF($C$14&gt;=18,0.9,IF($C$14&gt;=12,1,IF($C$14&gt;=7,1.1,IF($C$14&gt;=2,1.2,IF($C$14&gt;=1,1.25,""))))))),80/A21)</f>
      </c>
      <c r="R21" s="8">
        <f>IF(A21&lt;=150,IF(ISNUMBER(Q21),Q21,""),MAX(IF(ISNUMBER(I21),I21,0),IF(ISNUMBER(P21),P21,0),IF(ISNUMBER(Q21),Q21,0)))</f>
      </c>
      <c r="S21" s="12">
        <f>IF(OR(R21="",R21&lt;=0),"",100/R21)</f>
      </c>
      <c r="T21" s="19">
        <f>IF(A21&lt;=150,"DN150 Table IW.4",IF(OR(R21="",R21&lt;=0),"no flow",IF(R21=Q21,"Absolute minimum (80/ID)",IF(AND(ISNUMBER(I21),R21=I21),"Slime control (Sss)","Self-cleansing (Ssc)"))))</f>
      </c>
      <c r="U21" s="14">
        <f>IF(PDWF_L_s&lt;=0,"",(PDWF_L_s/1000)/V_max)</f>
      </c>
      <c r="V21" s="14">
        <f>Calc!AZ21</f>
      </c>
      <c r="W21" s="8">
        <f>IF(V21=0,"",(1-COS(V21/2))/2)</f>
      </c>
      <c r="X21" s="9">
        <f>IF(V21=0,"",($B21/4)*(1-SIN(V21)/V21))</f>
      </c>
      <c r="Y21" s="8">
        <f>IF(V21=0,"",IF(U21&gt;=PI()*$B21^2/4,"n/a - full",((V_max*n_Manning)/(X21^(2/3)))^2*100))</f>
      </c>
      <c r="Z21" s="12">
        <f>IF(ISNUMBER(Y21),100/Y21,"")</f>
      </c>
      <c r="AA21" s="10">
        <f>IF(R21&lt;=0,"",(1/n_Manning)*(PI()*$B21^2/4)*($B21/4)^(2/3)*SQRT(R21/100)*1000)</f>
      </c>
      <c r="AB21" s="10">
        <f>IF(OR(PWWF_L_s&lt;=0,R21&lt;=0),"",PWWF_L_s/AA21)</f>
      </c>
      <c r="AC21" s="8">
        <f>IF(OR(PWWF_L_s&lt;=0,R21&lt;=0),"",IF(AB21&gt;=1,"&gt;1 (full)",(1-COS(Calc!BQ21/2))/2))</f>
      </c>
      <c r="AD21" s="10">
        <f>IF(OR(PWWF_L_s&lt;=0,R21&lt;=0),"",IF(AB21&gt;=1,PWWF_L_s/1000/(PI()*$B21^2/4),(PWWF_L_s/1000)/($B21^2*(Calc!BQ21-SIN(Calc!BQ21))/8)))</f>
      </c>
      <c r="AE21" s="10">
        <f>IF(OR(PDWF_L_s&lt;=0,R21&lt;=0),"",PDWF_L_s/AA21)</f>
      </c>
      <c r="AF21" s="19">
        <f>IF(PDWF_L_s&lt;=0,"enter flow",IF(OR(F21&gt;0.95,M21&gt;0.95),"Pipe too small for PDWF",IF(AND(ISNUMBER(Y21),Y21&lt;R21),"Smax &lt; Smin - pipe too large for flow",IF(PWWF_L_s&lt;=0,"PWWF not set",IF(AB21&gt;1,"SURCHARGED at Smin - size up or steepen","OK")))))</f>
      </c>
    </row>
    <row r="22">
      <c r="A22" s="3">
        <v>600.0</v>
      </c>
      <c r="B22" s="13">
        <f>A22/1000</f>
      </c>
      <c r="C22" s="13">
        <f>$C$11</f>
      </c>
      <c r="D22" s="14">
        <f>Calc!R22</f>
      </c>
      <c r="E22" s="11">
        <f>IF(D22=0,"",$B22/2*(1-COS(D22/2))*1000)</f>
      </c>
      <c r="F22" s="8">
        <f>IF(D22=0,"",(1-COS(D22/2))/2)</f>
      </c>
      <c r="G22" s="9">
        <f>IF(D22=0,"",($B22/4)*(1-SIN(D22)/D22))</f>
      </c>
      <c r="H22" s="10">
        <f>IF(D22=0,"",(C22/1000)/($B22^2*(D22-SIN(D22))/8))</f>
      </c>
      <c r="I22" s="8">
        <f>IF(D22=0,"",K_sss/G22)</f>
      </c>
      <c r="J22" s="12">
        <f>IF(D22=0,"",100/I22)</f>
      </c>
      <c r="K22" s="13">
        <f>$C$12</f>
      </c>
      <c r="L22" s="14">
        <f>Calc!AI22</f>
      </c>
      <c r="M22" s="8">
        <f>IF(L22=0,"",(1-COS(L22/2))/2)</f>
      </c>
      <c r="N22" s="9">
        <f>IF(L22=0,"",($B22/4)*(1-SIN(L22)/L22))</f>
      </c>
      <c r="O22" s="10">
        <f>IF(L22=0,"",(K22/1000)/($B22^2*(L22-SIN(L22))/8))</f>
      </c>
      <c r="P22" s="8">
        <f>IF(L22=0,"",K_sc/N22)</f>
      </c>
      <c r="Q22" s="8">
        <f>IF(A22&lt;=150,IF($C$14&gt;=35,0.7,IF($C$14&gt;=28,0.8,IF($C$14&gt;=18,0.9,IF($C$14&gt;=12,1,IF($C$14&gt;=7,1.1,IF($C$14&gt;=2,1.2,IF($C$14&gt;=1,1.25,""))))))),80/A22)</f>
      </c>
      <c r="R22" s="8">
        <f>IF(A22&lt;=150,IF(ISNUMBER(Q22),Q22,""),MAX(IF(ISNUMBER(I22),I22,0),IF(ISNUMBER(P22),P22,0),IF(ISNUMBER(Q22),Q22,0)))</f>
      </c>
      <c r="S22" s="12">
        <f>IF(OR(R22="",R22&lt;=0),"",100/R22)</f>
      </c>
      <c r="T22" s="19">
        <f>IF(A22&lt;=150,"DN150 Table IW.4",IF(OR(R22="",R22&lt;=0),"no flow",IF(R22=Q22,"Absolute minimum (80/ID)",IF(AND(ISNUMBER(I22),R22=I22),"Slime control (Sss)","Self-cleansing (Ssc)"))))</f>
      </c>
      <c r="U22" s="14">
        <f>IF(PDWF_L_s&lt;=0,"",(PDWF_L_s/1000)/V_max)</f>
      </c>
      <c r="V22" s="14">
        <f>Calc!AZ22</f>
      </c>
      <c r="W22" s="8">
        <f>IF(V22=0,"",(1-COS(V22/2))/2)</f>
      </c>
      <c r="X22" s="9">
        <f>IF(V22=0,"",($B22/4)*(1-SIN(V22)/V22))</f>
      </c>
      <c r="Y22" s="8">
        <f>IF(V22=0,"",IF(U22&gt;=PI()*$B22^2/4,"n/a - full",((V_max*n_Manning)/(X22^(2/3)))^2*100))</f>
      </c>
      <c r="Z22" s="12">
        <f>IF(ISNUMBER(Y22),100/Y22,"")</f>
      </c>
      <c r="AA22" s="10">
        <f>IF(R22&lt;=0,"",(1/n_Manning)*(PI()*$B22^2/4)*($B22/4)^(2/3)*SQRT(R22/100)*1000)</f>
      </c>
      <c r="AB22" s="10">
        <f>IF(OR(PWWF_L_s&lt;=0,R22&lt;=0),"",PWWF_L_s/AA22)</f>
      </c>
      <c r="AC22" s="8">
        <f>IF(OR(PWWF_L_s&lt;=0,R22&lt;=0),"",IF(AB22&gt;=1,"&gt;1 (full)",(1-COS(Calc!BQ22/2))/2))</f>
      </c>
      <c r="AD22" s="10">
        <f>IF(OR(PWWF_L_s&lt;=0,R22&lt;=0),"",IF(AB22&gt;=1,PWWF_L_s/1000/(PI()*$B22^2/4),(PWWF_L_s/1000)/($B22^2*(Calc!BQ22-SIN(Calc!BQ22))/8)))</f>
      </c>
      <c r="AE22" s="10">
        <f>IF(OR(PDWF_L_s&lt;=0,R22&lt;=0),"",PDWF_L_s/AA22)</f>
      </c>
      <c r="AF22" s="19">
        <f>IF(PDWF_L_s&lt;=0,"enter flow",IF(OR(F22&gt;0.95,M22&gt;0.95),"Pipe too small for PDWF",IF(AND(ISNUMBER(Y22),Y22&lt;R22),"Smax &lt; Smin - pipe too large for flow",IF(PWWF_L_s&lt;=0,"PWWF not set",IF(AB22&gt;1,"SURCHARGED at Smin - size up or steepen","OK")))))</f>
      </c>
    </row>
    <row r="23">
      <c r="A23" s="3">
        <v>675.0</v>
      </c>
      <c r="B23" s="13">
        <f>A23/1000</f>
      </c>
      <c r="C23" s="13">
        <f>$C$11</f>
      </c>
      <c r="D23" s="14">
        <f>Calc!R23</f>
      </c>
      <c r="E23" s="11">
        <f>IF(D23=0,"",$B23/2*(1-COS(D23/2))*1000)</f>
      </c>
      <c r="F23" s="8">
        <f>IF(D23=0,"",(1-COS(D23/2))/2)</f>
      </c>
      <c r="G23" s="9">
        <f>IF(D23=0,"",($B23/4)*(1-SIN(D23)/D23))</f>
      </c>
      <c r="H23" s="10">
        <f>IF(D23=0,"",(C23/1000)/($B23^2*(D23-SIN(D23))/8))</f>
      </c>
      <c r="I23" s="8">
        <f>IF(D23=0,"",K_sss/G23)</f>
      </c>
      <c r="J23" s="12">
        <f>IF(D23=0,"",100/I23)</f>
      </c>
      <c r="K23" s="13">
        <f>$C$12</f>
      </c>
      <c r="L23" s="14">
        <f>Calc!AI23</f>
      </c>
      <c r="M23" s="8">
        <f>IF(L23=0,"",(1-COS(L23/2))/2)</f>
      </c>
      <c r="N23" s="9">
        <f>IF(L23=0,"",($B23/4)*(1-SIN(L23)/L23))</f>
      </c>
      <c r="O23" s="10">
        <f>IF(L23=0,"",(K23/1000)/($B23^2*(L23-SIN(L23))/8))</f>
      </c>
      <c r="P23" s="8">
        <f>IF(L23=0,"",K_sc/N23)</f>
      </c>
      <c r="Q23" s="8">
        <f>IF(A23&lt;=150,IF($C$14&gt;=35,0.7,IF($C$14&gt;=28,0.8,IF($C$14&gt;=18,0.9,IF($C$14&gt;=12,1,IF($C$14&gt;=7,1.1,IF($C$14&gt;=2,1.2,IF($C$14&gt;=1,1.25,""))))))),80/A23)</f>
      </c>
      <c r="R23" s="8">
        <f>IF(A23&lt;=150,IF(ISNUMBER(Q23),Q23,""),MAX(IF(ISNUMBER(I23),I23,0),IF(ISNUMBER(P23),P23,0),IF(ISNUMBER(Q23),Q23,0)))</f>
      </c>
      <c r="S23" s="12">
        <f>IF(OR(R23="",R23&lt;=0),"",100/R23)</f>
      </c>
      <c r="T23" s="19">
        <f>IF(A23&lt;=150,"DN150 Table IW.4",IF(OR(R23="",R23&lt;=0),"no flow",IF(R23=Q23,"Absolute minimum (80/ID)",IF(AND(ISNUMBER(I23),R23=I23),"Slime control (Sss)","Self-cleansing (Ssc)"))))</f>
      </c>
      <c r="U23" s="14">
        <f>IF(PDWF_L_s&lt;=0,"",(PDWF_L_s/1000)/V_max)</f>
      </c>
      <c r="V23" s="14">
        <f>Calc!AZ23</f>
      </c>
      <c r="W23" s="8">
        <f>IF(V23=0,"",(1-COS(V23/2))/2)</f>
      </c>
      <c r="X23" s="9">
        <f>IF(V23=0,"",($B23/4)*(1-SIN(V23)/V23))</f>
      </c>
      <c r="Y23" s="8">
        <f>IF(V23=0,"",IF(U23&gt;=PI()*$B23^2/4,"n/a - full",((V_max*n_Manning)/(X23^(2/3)))^2*100))</f>
      </c>
      <c r="Z23" s="12">
        <f>IF(ISNUMBER(Y23),100/Y23,"")</f>
      </c>
      <c r="AA23" s="10">
        <f>IF(R23&lt;=0,"",(1/n_Manning)*(PI()*$B23^2/4)*($B23/4)^(2/3)*SQRT(R23/100)*1000)</f>
      </c>
      <c r="AB23" s="10">
        <f>IF(OR(PWWF_L_s&lt;=0,R23&lt;=0),"",PWWF_L_s/AA23)</f>
      </c>
      <c r="AC23" s="8">
        <f>IF(OR(PWWF_L_s&lt;=0,R23&lt;=0),"",IF(AB23&gt;=1,"&gt;1 (full)",(1-COS(Calc!BQ23/2))/2))</f>
      </c>
      <c r="AD23" s="10">
        <f>IF(OR(PWWF_L_s&lt;=0,R23&lt;=0),"",IF(AB23&gt;=1,PWWF_L_s/1000/(PI()*$B23^2/4),(PWWF_L_s/1000)/($B23^2*(Calc!BQ23-SIN(Calc!BQ23))/8)))</f>
      </c>
      <c r="AE23" s="10">
        <f>IF(OR(PDWF_L_s&lt;=0,R23&lt;=0),"",PDWF_L_s/AA23)</f>
      </c>
      <c r="AF23" s="19">
        <f>IF(PDWF_L_s&lt;=0,"enter flow",IF(OR(F23&gt;0.95,M23&gt;0.95),"Pipe too small for PDWF",IF(AND(ISNUMBER(Y23),Y23&lt;R23),"Smax &lt; Smin - pipe too large for flow",IF(PWWF_L_s&lt;=0,"PWWF not set",IF(AB23&gt;1,"SURCHARGED at Smin - size up or steepen","OK")))))</f>
      </c>
    </row>
    <row r="24">
      <c r="A24" s="3">
        <v>750.0</v>
      </c>
      <c r="B24" s="13">
        <f>A24/1000</f>
      </c>
      <c r="C24" s="13">
        <f>$C$11</f>
      </c>
      <c r="D24" s="14">
        <f>Calc!R24</f>
      </c>
      <c r="E24" s="11">
        <f>IF(D24=0,"",$B24/2*(1-COS(D24/2))*1000)</f>
      </c>
      <c r="F24" s="8">
        <f>IF(D24=0,"",(1-COS(D24/2))/2)</f>
      </c>
      <c r="G24" s="9">
        <f>IF(D24=0,"",($B24/4)*(1-SIN(D24)/D24))</f>
      </c>
      <c r="H24" s="10">
        <f>IF(D24=0,"",(C24/1000)/($B24^2*(D24-SIN(D24))/8))</f>
      </c>
      <c r="I24" s="8">
        <f>IF(D24=0,"",K_sss/G24)</f>
      </c>
      <c r="J24" s="12">
        <f>IF(D24=0,"",100/I24)</f>
      </c>
      <c r="K24" s="13">
        <f>$C$12</f>
      </c>
      <c r="L24" s="14">
        <f>Calc!AI24</f>
      </c>
      <c r="M24" s="8">
        <f>IF(L24=0,"",(1-COS(L24/2))/2)</f>
      </c>
      <c r="N24" s="9">
        <f>IF(L24=0,"",($B24/4)*(1-SIN(L24)/L24))</f>
      </c>
      <c r="O24" s="10">
        <f>IF(L24=0,"",(K24/1000)/($B24^2*(L24-SIN(L24))/8))</f>
      </c>
      <c r="P24" s="8">
        <f>IF(L24=0,"",K_sc/N24)</f>
      </c>
      <c r="Q24" s="8">
        <f>IF(A24&lt;=150,IF($C$14&gt;=35,0.7,IF($C$14&gt;=28,0.8,IF($C$14&gt;=18,0.9,IF($C$14&gt;=12,1,IF($C$14&gt;=7,1.1,IF($C$14&gt;=2,1.2,IF($C$14&gt;=1,1.25,""))))))),80/A24)</f>
      </c>
      <c r="R24" s="8">
        <f>IF(A24&lt;=150,IF(ISNUMBER(Q24),Q24,""),MAX(IF(ISNUMBER(I24),I24,0),IF(ISNUMBER(P24),P24,0),IF(ISNUMBER(Q24),Q24,0)))</f>
      </c>
      <c r="S24" s="12">
        <f>IF(OR(R24="",R24&lt;=0),"",100/R24)</f>
      </c>
      <c r="T24" s="19">
        <f>IF(A24&lt;=150,"DN150 Table IW.4",IF(OR(R24="",R24&lt;=0),"no flow",IF(R24=Q24,"Absolute minimum (80/ID)",IF(AND(ISNUMBER(I24),R24=I24),"Slime control (Sss)","Self-cleansing (Ssc)"))))</f>
      </c>
      <c r="U24" s="14">
        <f>IF(PDWF_L_s&lt;=0,"",(PDWF_L_s/1000)/V_max)</f>
      </c>
      <c r="V24" s="14">
        <f>Calc!AZ24</f>
      </c>
      <c r="W24" s="8">
        <f>IF(V24=0,"",(1-COS(V24/2))/2)</f>
      </c>
      <c r="X24" s="9">
        <f>IF(V24=0,"",($B24/4)*(1-SIN(V24)/V24))</f>
      </c>
      <c r="Y24" s="8">
        <f>IF(V24=0,"",IF(U24&gt;=PI()*$B24^2/4,"n/a - full",((V_max*n_Manning)/(X24^(2/3)))^2*100))</f>
      </c>
      <c r="Z24" s="12">
        <f>IF(ISNUMBER(Y24),100/Y24,"")</f>
      </c>
      <c r="AA24" s="10">
        <f>IF(R24&lt;=0,"",(1/n_Manning)*(PI()*$B24^2/4)*($B24/4)^(2/3)*SQRT(R24/100)*1000)</f>
      </c>
      <c r="AB24" s="10">
        <f>IF(OR(PWWF_L_s&lt;=0,R24&lt;=0),"",PWWF_L_s/AA24)</f>
      </c>
      <c r="AC24" s="8">
        <f>IF(OR(PWWF_L_s&lt;=0,R24&lt;=0),"",IF(AB24&gt;=1,"&gt;1 (full)",(1-COS(Calc!BQ24/2))/2))</f>
      </c>
      <c r="AD24" s="10">
        <f>IF(OR(PWWF_L_s&lt;=0,R24&lt;=0),"",IF(AB24&gt;=1,PWWF_L_s/1000/(PI()*$B24^2/4),(PWWF_L_s/1000)/($B24^2*(Calc!BQ24-SIN(Calc!BQ24))/8)))</f>
      </c>
      <c r="AE24" s="10">
        <f>IF(OR(PDWF_L_s&lt;=0,R24&lt;=0),"",PDWF_L_s/AA24)</f>
      </c>
      <c r="AF24" s="19">
        <f>IF(PDWF_L_s&lt;=0,"enter flow",IF(OR(F24&gt;0.95,M24&gt;0.95),"Pipe too small for PDWF",IF(AND(ISNUMBER(Y24),Y24&lt;R24),"Smax &lt; Smin - pipe too large for flow",IF(PWWF_L_s&lt;=0,"PWWF not set",IF(AB24&gt;1,"SURCHARGED at Smin - size up or steepen","OK")))))</f>
      </c>
    </row>
    <row r="25">
      <c r="A25" s="3">
        <v>900.0</v>
      </c>
      <c r="B25" s="13">
        <f>A25/1000</f>
      </c>
      <c r="C25" s="13">
        <f>$C$11</f>
      </c>
      <c r="D25" s="14">
        <f>Calc!R25</f>
      </c>
      <c r="E25" s="11">
        <f>IF(D25=0,"",$B25/2*(1-COS(D25/2))*1000)</f>
      </c>
      <c r="F25" s="8">
        <f>IF(D25=0,"",(1-COS(D25/2))/2)</f>
      </c>
      <c r="G25" s="9">
        <f>IF(D25=0,"",($B25/4)*(1-SIN(D25)/D25))</f>
      </c>
      <c r="H25" s="10">
        <f>IF(D25=0,"",(C25/1000)/($B25^2*(D25-SIN(D25))/8))</f>
      </c>
      <c r="I25" s="8">
        <f>IF(D25=0,"",K_sss/G25)</f>
      </c>
      <c r="J25" s="12">
        <f>IF(D25=0,"",100/I25)</f>
      </c>
      <c r="K25" s="13">
        <f>$C$12</f>
      </c>
      <c r="L25" s="14">
        <f>Calc!AI25</f>
      </c>
      <c r="M25" s="8">
        <f>IF(L25=0,"",(1-COS(L25/2))/2)</f>
      </c>
      <c r="N25" s="9">
        <f>IF(L25=0,"",($B25/4)*(1-SIN(L25)/L25))</f>
      </c>
      <c r="O25" s="10">
        <f>IF(L25=0,"",(K25/1000)/($B25^2*(L25-SIN(L25))/8))</f>
      </c>
      <c r="P25" s="8">
        <f>IF(L25=0,"",K_sc/N25)</f>
      </c>
      <c r="Q25" s="8">
        <f>IF(A25&lt;=150,IF($C$14&gt;=35,0.7,IF($C$14&gt;=28,0.8,IF($C$14&gt;=18,0.9,IF($C$14&gt;=12,1,IF($C$14&gt;=7,1.1,IF($C$14&gt;=2,1.2,IF($C$14&gt;=1,1.25,""))))))),80/A25)</f>
      </c>
      <c r="R25" s="8">
        <f>IF(A25&lt;=150,IF(ISNUMBER(Q25),Q25,""),MAX(IF(ISNUMBER(I25),I25,0),IF(ISNUMBER(P25),P25,0),IF(ISNUMBER(Q25),Q25,0)))</f>
      </c>
      <c r="S25" s="12">
        <f>IF(OR(R25="",R25&lt;=0),"",100/R25)</f>
      </c>
      <c r="T25" s="19">
        <f>IF(A25&lt;=150,"DN150 Table IW.4",IF(OR(R25="",R25&lt;=0),"no flow",IF(R25=Q25,"Absolute minimum (80/ID)",IF(AND(ISNUMBER(I25),R25=I25),"Slime control (Sss)","Self-cleansing (Ssc)"))))</f>
      </c>
      <c r="U25" s="14">
        <f>IF(PDWF_L_s&lt;=0,"",(PDWF_L_s/1000)/V_max)</f>
      </c>
      <c r="V25" s="14">
        <f>Calc!AZ25</f>
      </c>
      <c r="W25" s="8">
        <f>IF(V25=0,"",(1-COS(V25/2))/2)</f>
      </c>
      <c r="X25" s="9">
        <f>IF(V25=0,"",($B25/4)*(1-SIN(V25)/V25))</f>
      </c>
      <c r="Y25" s="8">
        <f>IF(V25=0,"",IF(U25&gt;=PI()*$B25^2/4,"n/a - full",((V_max*n_Manning)/(X25^(2/3)))^2*100))</f>
      </c>
      <c r="Z25" s="12">
        <f>IF(ISNUMBER(Y25),100/Y25,"")</f>
      </c>
      <c r="AA25" s="10">
        <f>IF(R25&lt;=0,"",(1/n_Manning)*(PI()*$B25^2/4)*($B25/4)^(2/3)*SQRT(R25/100)*1000)</f>
      </c>
      <c r="AB25" s="10">
        <f>IF(OR(PWWF_L_s&lt;=0,R25&lt;=0),"",PWWF_L_s/AA25)</f>
      </c>
      <c r="AC25" s="8">
        <f>IF(OR(PWWF_L_s&lt;=0,R25&lt;=0),"",IF(AB25&gt;=1,"&gt;1 (full)",(1-COS(Calc!BQ25/2))/2))</f>
      </c>
      <c r="AD25" s="10">
        <f>IF(OR(PWWF_L_s&lt;=0,R25&lt;=0),"",IF(AB25&gt;=1,PWWF_L_s/1000/(PI()*$B25^2/4),(PWWF_L_s/1000)/($B25^2*(Calc!BQ25-SIN(Calc!BQ25))/8)))</f>
      </c>
      <c r="AE25" s="10">
        <f>IF(OR(PDWF_L_s&lt;=0,R25&lt;=0),"",PDWF_L_s/AA25)</f>
      </c>
      <c r="AF25" s="19">
        <f>IF(PDWF_L_s&lt;=0,"enter flow",IF(OR(F25&gt;0.95,M25&gt;0.95),"Pipe too small for PDWF",IF(AND(ISNUMBER(Y25),Y25&lt;R25),"Smax &lt; Smin - pipe too large for flow",IF(PWWF_L_s&lt;=0,"PWWF not set",IF(AB25&gt;1,"SURCHARGED at Smin - size up or steepen","OK")))))</f>
      </c>
    </row>
    <row r="27">
      <c r="A27" s="1" t="inlineStr">
        <is>
          <t xml:space="preserve">Notes</t>
        </is>
      </c>
    </row>
    <row r="28">
      <c r="A28" s="5" t="inlineStr">
        <is>
          <t xml:space="preserve">1. Icon Water Eq IW.5.5.3.2 (Sss = 0.0338/Rp) is a tractive-force criterion. Substituting S = K/Rp into Manning removes S: Q = (1/n) sqrt(K/100) A Rp^(1/6). Sheet 'Calc' solves this for the part-full angle theta; Rp and S then follow directly. This replaces the Wolfram Alpha step of the original sheet.</t>
        </is>
      </c>
    </row>
    <row r="29">
      <c r="A29" s="5" t="inlineStr">
        <is>
          <t xml:space="preserve">2. Solve for: Grade uses the table. Flow uses Rp = K/grade, then Manning, so a known grade returns the Qdmp at which that grade is exactly Sss (and, beside it, Ssc). Diameter returns the smallest DN that meets the grade you can build. Assuming a depth instead, on Design Table, needs no iteration at all.</t>
        </is>
      </c>
    </row>
    <row r="30">
      <c r="A30" s="5" t="inlineStr">
        <is>
          <t xml:space="preserve">3. Both grades use the same flow Qdmp (Eq IW.5.5.3.3). Ssc = 0.0135/Rp and Sss = 0.0338/Rp (Eqs IW.5.5.3.1 and 3.2). Absolute minimum for DN&gt;150 is 80/ID with ID in mm (Eq IW.5.5.3.4). DN150 uses Table IW.4 by number of houses, not those equations.</t>
        </is>
      </c>
    </row>
    <row r="31">
      <c r="A31" s="5" t="inlineStr">
        <is>
          <t xml:space="preserve">4. Capacity: the design flow (PWWF) should be carried without surcharge. y/D and PDWF/Qfull are reported so a stricter limit can be applied if Icon requires one.</t>
        </is>
      </c>
    </row>
    <row r="32">
      <c r="A32" s="5" t="inlineStr">
        <is>
          <t xml:space="preserve">5. This workbook is for Icon Water (ACT) only. NSW and most other states publish a grade table or a different test, so those numbers are not calculated here.</t>
        </is>
      </c>
    </row>
  </sheetData>
  <dataValidations count="3">
    <dataValidation type="list" allowBlank="1" showInputMessage="1" showErrorMessage="1" sqref="C4">
      <formula1>'Peak Flows'!$A$5:$A$14</formula1>
    </dataValidation>
    <dataValidation type="list" allowBlank="0" showErrorMessage="1" sqref="J4">
      <formula1>"Grade,Flow,Diameter"</formula1>
    </dataValidation>
    <dataValidation type="list" allowBlank="0" showErrorMessage="1" sqref="J5">
      <formula1>$A$16:$A$25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Q29"/>
  <sheetViews>
    <sheetView workbookViewId="0">
      <pane xSplit="2" ySplit="15" topLeftCell="C16" activePane="bottomRight" state="frozen"/>
    </sheetView>
  </sheetViews>
  <sheetFormatPr defaultRowHeight="15"/>
  <cols>
    <col min="1" max="1" width="10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10" customWidth="1"/>
    <col min="32" max="32" width="10" customWidth="1"/>
    <col min="33" max="33" width="10" customWidth="1"/>
    <col min="34" max="34" width="10" customWidth="1"/>
    <col min="35" max="35" width="10" customWidth="1"/>
    <col min="36" max="36" width="10" customWidth="1"/>
    <col min="37" max="37" width="10" customWidth="1"/>
    <col min="38" max="38" width="10" customWidth="1"/>
    <col min="39" max="39" width="10" customWidth="1"/>
    <col min="40" max="40" width="10" customWidth="1"/>
    <col min="41" max="41" width="10" customWidth="1"/>
    <col min="42" max="42" width="10" customWidth="1"/>
    <col min="43" max="43" width="10" customWidth="1"/>
    <col min="44" max="44" width="10" customWidth="1"/>
    <col min="45" max="45" width="10" customWidth="1"/>
    <col min="46" max="46" width="10" customWidth="1"/>
    <col min="47" max="47" width="10" customWidth="1"/>
    <col min="48" max="48" width="10" customWidth="1"/>
    <col min="49" max="49" width="10" customWidth="1"/>
    <col min="50" max="50" width="10" customWidth="1"/>
    <col min="51" max="51" width="10" customWidth="1"/>
    <col min="52" max="52" width="10" customWidth="1"/>
    <col min="53" max="53" width="10" customWidth="1"/>
    <col min="54" max="54" width="10" customWidth="1"/>
    <col min="55" max="55" width="10" customWidth="1"/>
    <col min="56" max="56" width="10" customWidth="1"/>
    <col min="57" max="57" width="10" customWidth="1"/>
    <col min="58" max="58" width="10" customWidth="1"/>
    <col min="59" max="59" width="10" customWidth="1"/>
    <col min="60" max="60" width="10" customWidth="1"/>
    <col min="61" max="61" width="10" customWidth="1"/>
    <col min="62" max="62" width="10" customWidth="1"/>
    <col min="63" max="63" width="10" customWidth="1"/>
    <col min="64" max="64" width="10" customWidth="1"/>
    <col min="65" max="65" width="10" customWidth="1"/>
    <col min="66" max="66" width="10" customWidth="1"/>
    <col min="67" max="67" width="10" customWidth="1"/>
    <col min="68" max="68" width="10" customWidth="1"/>
    <col min="69" max="69" width="10" customWidth="1"/>
  </cols>
  <sheetData>
    <row r="1">
      <c r="A1" s="5" t="inlineStr">
        <is>
          <t xml:space="preserve">Iteration engine (do not edit). Each block solves the central angle theta of the part-full circle: an asymptotic starting value followed by 14 Newton steps in log-space on f(theta) = A(theta) * R(theta)^m = T. The last column of each block feeds 'Grade Calculator'.</t>
        </is>
      </c>
    </row>
    <row r="2">
      <c r="A2" s="5" t="inlineStr">
        <is>
          <t xml:space="preserve">Block 1: slime control (m = 1/6, T1 = Q75 n / sqrt(K_sss/100))  |  Block 2: self-cleansing (m = 1/6, K_sc)  |  Block 3: wetted area for V_max (m = 0, T3 = PDWF/V_max)  |  Block 4: Manning normal depth at PWWF on the governing grade (m = 2/3, T4 = PWWF n / sqrt(S)). 14 steps give about 1e-6 or better up to y/D = 0.97; beyond that the pipe is reported as too small for the flow.</t>
        </is>
      </c>
    </row>
    <row r="15">
      <c r="A15" s="2" t="inlineStr">
        <is>
          <t xml:space="preserve">DN</t>
        </is>
      </c>
      <c r="B15" s="2" t="inlineStr">
        <is>
          <t xml:space="preserve">D (m)</t>
        </is>
      </c>
      <c r="C15" s="2" t="inlineStr">
        <is>
          <t xml:space="preserve">T1</t>
        </is>
      </c>
      <c r="D15" s="2" t="inlineStr">
        <is>
          <t xml:space="preserve">theta0</t>
        </is>
      </c>
      <c r="E15" s="2" t="inlineStr">
        <is>
          <t xml:space="preserve">step 1</t>
        </is>
      </c>
      <c r="F15" s="2" t="inlineStr">
        <is>
          <t xml:space="preserve">step 2</t>
        </is>
      </c>
      <c r="G15" s="2" t="inlineStr">
        <is>
          <t xml:space="preserve">step 3</t>
        </is>
      </c>
      <c r="H15" s="2" t="inlineStr">
        <is>
          <t xml:space="preserve">step 4</t>
        </is>
      </c>
      <c r="I15" s="2" t="inlineStr">
        <is>
          <t xml:space="preserve">step 5</t>
        </is>
      </c>
      <c r="J15" s="2" t="inlineStr">
        <is>
          <t xml:space="preserve">step 6</t>
        </is>
      </c>
      <c r="K15" s="2" t="inlineStr">
        <is>
          <t xml:space="preserve">step 7</t>
        </is>
      </c>
      <c r="L15" s="2" t="inlineStr">
        <is>
          <t xml:space="preserve">step 8</t>
        </is>
      </c>
      <c r="M15" s="2" t="inlineStr">
        <is>
          <t xml:space="preserve">step 9</t>
        </is>
      </c>
      <c r="N15" s="2" t="inlineStr">
        <is>
          <t xml:space="preserve">step 10</t>
        </is>
      </c>
      <c r="O15" s="2" t="inlineStr">
        <is>
          <t xml:space="preserve">step 11</t>
        </is>
      </c>
      <c r="P15" s="2" t="inlineStr">
        <is>
          <t xml:space="preserve">step 12</t>
        </is>
      </c>
      <c r="Q15" s="2" t="inlineStr">
        <is>
          <t xml:space="preserve">step 13</t>
        </is>
      </c>
      <c r="R15" s="2" t="inlineStr">
        <is>
          <t xml:space="preserve">step 14</t>
        </is>
      </c>
      <c r="T15" s="2" t="inlineStr">
        <is>
          <t xml:space="preserve">T2</t>
        </is>
      </c>
      <c r="U15" s="2" t="inlineStr">
        <is>
          <t xml:space="preserve">theta0</t>
        </is>
      </c>
      <c r="V15" s="2" t="inlineStr">
        <is>
          <t xml:space="preserve">step 1</t>
        </is>
      </c>
      <c r="W15" s="2" t="inlineStr">
        <is>
          <t xml:space="preserve">step 2</t>
        </is>
      </c>
      <c r="X15" s="2" t="inlineStr">
        <is>
          <t xml:space="preserve">step 3</t>
        </is>
      </c>
      <c r="Y15" s="2" t="inlineStr">
        <is>
          <t xml:space="preserve">step 4</t>
        </is>
      </c>
      <c r="Z15" s="2" t="inlineStr">
        <is>
          <t xml:space="preserve">step 5</t>
        </is>
      </c>
      <c r="AA15" s="2" t="inlineStr">
        <is>
          <t xml:space="preserve">step 6</t>
        </is>
      </c>
      <c r="AB15" s="2" t="inlineStr">
        <is>
          <t xml:space="preserve">step 7</t>
        </is>
      </c>
      <c r="AC15" s="2" t="inlineStr">
        <is>
          <t xml:space="preserve">step 8</t>
        </is>
      </c>
      <c r="AD15" s="2" t="inlineStr">
        <is>
          <t xml:space="preserve">step 9</t>
        </is>
      </c>
      <c r="AE15" s="2" t="inlineStr">
        <is>
          <t xml:space="preserve">step 10</t>
        </is>
      </c>
      <c r="AF15" s="2" t="inlineStr">
        <is>
          <t xml:space="preserve">step 11</t>
        </is>
      </c>
      <c r="AG15" s="2" t="inlineStr">
        <is>
          <t xml:space="preserve">step 12</t>
        </is>
      </c>
      <c r="AH15" s="2" t="inlineStr">
        <is>
          <t xml:space="preserve">step 13</t>
        </is>
      </c>
      <c r="AI15" s="2" t="inlineStr">
        <is>
          <t xml:space="preserve">step 14</t>
        </is>
      </c>
      <c r="AK15" s="2" t="inlineStr">
        <is>
          <t xml:space="preserve">A_target (Vmax)</t>
        </is>
      </c>
      <c r="AL15" s="2" t="inlineStr">
        <is>
          <t xml:space="preserve">theta0</t>
        </is>
      </c>
      <c r="AM15" s="2" t="inlineStr">
        <is>
          <t xml:space="preserve">step 1</t>
        </is>
      </c>
      <c r="AN15" s="2" t="inlineStr">
        <is>
          <t xml:space="preserve">step 2</t>
        </is>
      </c>
      <c r="AO15" s="2" t="inlineStr">
        <is>
          <t xml:space="preserve">step 3</t>
        </is>
      </c>
      <c r="AP15" s="2" t="inlineStr">
        <is>
          <t xml:space="preserve">step 4</t>
        </is>
      </c>
      <c r="AQ15" s="2" t="inlineStr">
        <is>
          <t xml:space="preserve">step 5</t>
        </is>
      </c>
      <c r="AR15" s="2" t="inlineStr">
        <is>
          <t xml:space="preserve">step 6</t>
        </is>
      </c>
      <c r="AS15" s="2" t="inlineStr">
        <is>
          <t xml:space="preserve">step 7</t>
        </is>
      </c>
      <c r="AT15" s="2" t="inlineStr">
        <is>
          <t xml:space="preserve">step 8</t>
        </is>
      </c>
      <c r="AU15" s="2" t="inlineStr">
        <is>
          <t xml:space="preserve">step 9</t>
        </is>
      </c>
      <c r="AV15" s="2" t="inlineStr">
        <is>
          <t xml:space="preserve">step 10</t>
        </is>
      </c>
      <c r="AW15" s="2" t="inlineStr">
        <is>
          <t xml:space="preserve">step 11</t>
        </is>
      </c>
      <c r="AX15" s="2" t="inlineStr">
        <is>
          <t xml:space="preserve">step 12</t>
        </is>
      </c>
      <c r="AY15" s="2" t="inlineStr">
        <is>
          <t xml:space="preserve">step 13</t>
        </is>
      </c>
      <c r="AZ15" s="2" t="inlineStr">
        <is>
          <t xml:space="preserve">step 14</t>
        </is>
      </c>
      <c r="BB15" s="2" t="inlineStr">
        <is>
          <t xml:space="preserve">T4</t>
        </is>
      </c>
      <c r="BC15" s="2" t="inlineStr">
        <is>
          <t xml:space="preserve">theta0</t>
        </is>
      </c>
      <c r="BD15" s="2" t="inlineStr">
        <is>
          <t xml:space="preserve">step 1</t>
        </is>
      </c>
      <c r="BE15" s="2" t="inlineStr">
        <is>
          <t xml:space="preserve">step 2</t>
        </is>
      </c>
      <c r="BF15" s="2" t="inlineStr">
        <is>
          <t xml:space="preserve">step 3</t>
        </is>
      </c>
      <c r="BG15" s="2" t="inlineStr">
        <is>
          <t xml:space="preserve">step 4</t>
        </is>
      </c>
      <c r="BH15" s="2" t="inlineStr">
        <is>
          <t xml:space="preserve">step 5</t>
        </is>
      </c>
      <c r="BI15" s="2" t="inlineStr">
        <is>
          <t xml:space="preserve">step 6</t>
        </is>
      </c>
      <c r="BJ15" s="2" t="inlineStr">
        <is>
          <t xml:space="preserve">step 7</t>
        </is>
      </c>
      <c r="BK15" s="2" t="inlineStr">
        <is>
          <t xml:space="preserve">step 8</t>
        </is>
      </c>
      <c r="BL15" s="2" t="inlineStr">
        <is>
          <t xml:space="preserve">step 9</t>
        </is>
      </c>
      <c r="BM15" s="2" t="inlineStr">
        <is>
          <t xml:space="preserve">step 10</t>
        </is>
      </c>
      <c r="BN15" s="2" t="inlineStr">
        <is>
          <t xml:space="preserve">step 11</t>
        </is>
      </c>
      <c r="BO15" s="2" t="inlineStr">
        <is>
          <t xml:space="preserve">step 12</t>
        </is>
      </c>
      <c r="BP15" s="2" t="inlineStr">
        <is>
          <t xml:space="preserve">step 13</t>
        </is>
      </c>
      <c r="BQ15" s="2" t="inlineStr">
        <is>
          <t xml:space="preserve">step 14</t>
        </is>
      </c>
    </row>
    <row r="16">
      <c r="A16" s="18">
        <f>'Grade Calculator'!$A16</f>
      </c>
      <c r="B16" s="14">
        <f>'Grade Calculator'!$B16</f>
      </c>
      <c r="C16" s="14">
        <f>IF('Grade Calculator'!$C16&lt;=0,0,('Grade Calculator'!$C16/1000)*n_Manning/SQRT(K_sss/100))</f>
      </c>
      <c r="D16" s="14">
        <f>IF($C16&lt;=0,0,MIN(2*PI()-0.000001,MAX(0.000001,($C16*81.52230382/$B16^2.166666667)^(1/3.333333333))))</f>
      </c>
      <c r="E16" s="14">
        <f>IF($C16&lt;=0,0,MIN(2*PI()-0.000001,MAX(0.000001,D16*($C16/(($B16^2*(D16-SIN(D16))/8)*(($B16/4)*(1-SIN(D16)/D16))^0.1666666667))^(1/MAX(((D16*(1-COS(D16))+0.1666666667*(SIN(D16)-D16*COS(D16)))/(D16-SIN(D16))),0.25)))))</f>
      </c>
      <c r="F16" s="14">
        <f>IF($C16&lt;=0,0,MIN(2*PI()-0.000001,MAX(0.000001,E16*($C16/(($B16^2*(E16-SIN(E16))/8)*(($B16/4)*(1-SIN(E16)/E16))^0.1666666667))^(1/MAX(((E16*(1-COS(E16))+0.1666666667*(SIN(E16)-E16*COS(E16)))/(E16-SIN(E16))),0.25)))))</f>
      </c>
      <c r="G16" s="14">
        <f>IF($C16&lt;=0,0,MIN(2*PI()-0.000001,MAX(0.000001,F16*($C16/(($B16^2*(F16-SIN(F16))/8)*(($B16/4)*(1-SIN(F16)/F16))^0.1666666667))^(1/MAX(((F16*(1-COS(F16))+0.1666666667*(SIN(F16)-F16*COS(F16)))/(F16-SIN(F16))),0.25)))))</f>
      </c>
      <c r="H16" s="14">
        <f>IF($C16&lt;=0,0,MIN(2*PI()-0.000001,MAX(0.000001,G16*($C16/(($B16^2*(G16-SIN(G16))/8)*(($B16/4)*(1-SIN(G16)/G16))^0.1666666667))^(1/MAX(((G16*(1-COS(G16))+0.1666666667*(SIN(G16)-G16*COS(G16)))/(G16-SIN(G16))),0.25)))))</f>
      </c>
      <c r="I16" s="14">
        <f>IF($C16&lt;=0,0,MIN(2*PI()-0.000001,MAX(0.000001,H16*($C16/(($B16^2*(H16-SIN(H16))/8)*(($B16/4)*(1-SIN(H16)/H16))^0.1666666667))^(1/MAX(((H16*(1-COS(H16))+0.1666666667*(SIN(H16)-H16*COS(H16)))/(H16-SIN(H16))),0.25)))))</f>
      </c>
      <c r="J16" s="14">
        <f>IF($C16&lt;=0,0,MIN(2*PI()-0.000001,MAX(0.000001,I16*($C16/(($B16^2*(I16-SIN(I16))/8)*(($B16/4)*(1-SIN(I16)/I16))^0.1666666667))^(1/MAX(((I16*(1-COS(I16))+0.1666666667*(SIN(I16)-I16*COS(I16)))/(I16-SIN(I16))),0.25)))))</f>
      </c>
      <c r="K16" s="14">
        <f>IF($C16&lt;=0,0,MIN(2*PI()-0.000001,MAX(0.000001,J16*($C16/(($B16^2*(J16-SIN(J16))/8)*(($B16/4)*(1-SIN(J16)/J16))^0.1666666667))^(1/MAX(((J16*(1-COS(J16))+0.1666666667*(SIN(J16)-J16*COS(J16)))/(J16-SIN(J16))),0.25)))))</f>
      </c>
      <c r="L16" s="14">
        <f>IF($C16&lt;=0,0,MIN(2*PI()-0.000001,MAX(0.000001,K16*($C16/(($B16^2*(K16-SIN(K16))/8)*(($B16/4)*(1-SIN(K16)/K16))^0.1666666667))^(1/MAX(((K16*(1-COS(K16))+0.1666666667*(SIN(K16)-K16*COS(K16)))/(K16-SIN(K16))),0.25)))))</f>
      </c>
      <c r="M16" s="14">
        <f>IF($C16&lt;=0,0,MIN(2*PI()-0.000001,MAX(0.000001,L16*($C16/(($B16^2*(L16-SIN(L16))/8)*(($B16/4)*(1-SIN(L16)/L16))^0.1666666667))^(1/MAX(((L16*(1-COS(L16))+0.1666666667*(SIN(L16)-L16*COS(L16)))/(L16-SIN(L16))),0.25)))))</f>
      </c>
      <c r="N16" s="14">
        <f>IF($C16&lt;=0,0,MIN(2*PI()-0.000001,MAX(0.000001,M16*($C16/(($B16^2*(M16-SIN(M16))/8)*(($B16/4)*(1-SIN(M16)/M16))^0.1666666667))^(1/MAX(((M16*(1-COS(M16))+0.1666666667*(SIN(M16)-M16*COS(M16)))/(M16-SIN(M16))),0.25)))))</f>
      </c>
      <c r="O16" s="14">
        <f>IF($C16&lt;=0,0,MIN(2*PI()-0.000001,MAX(0.000001,N16*($C16/(($B16^2*(N16-SIN(N16))/8)*(($B16/4)*(1-SIN(N16)/N16))^0.1666666667))^(1/MAX(((N16*(1-COS(N16))+0.1666666667*(SIN(N16)-N16*COS(N16)))/(N16-SIN(N16))),0.25)))))</f>
      </c>
      <c r="P16" s="14">
        <f>IF($C16&lt;=0,0,MIN(2*PI()-0.000001,MAX(0.000001,O16*($C16/(($B16^2*(O16-SIN(O16))/8)*(($B16/4)*(1-SIN(O16)/O16))^0.1666666667))^(1/MAX(((O16*(1-COS(O16))+0.1666666667*(SIN(O16)-O16*COS(O16)))/(O16-SIN(O16))),0.25)))))</f>
      </c>
      <c r="Q16" s="14">
        <f>IF($C16&lt;=0,0,MIN(2*PI()-0.000001,MAX(0.000001,P16*($C16/(($B16^2*(P16-SIN(P16))/8)*(($B16/4)*(1-SIN(P16)/P16))^0.1666666667))^(1/MAX(((P16*(1-COS(P16))+0.1666666667*(SIN(P16)-P16*COS(P16)))/(P16-SIN(P16))),0.25)))))</f>
      </c>
      <c r="R16" s="14">
        <f>IF($C16&lt;=0,0,MIN(2*PI()-0.000001,MAX(0.000001,Q16*($C16/(($B16^2*(Q16-SIN(Q16))/8)*(($B16/4)*(1-SIN(Q16)/Q16))^0.1666666667))^(1/MAX(((Q16*(1-COS(Q16))+0.1666666667*(SIN(Q16)-Q16*COS(Q16)))/(Q16-SIN(Q16))),0.25)))))</f>
      </c>
      <c r="T16" s="14">
        <f>IF('Grade Calculator'!$K16&lt;=0,0,('Grade Calculator'!$K16/1000)*n_Manning/SQRT(K_sc/100))</f>
      </c>
      <c r="U16" s="14">
        <f>IF($T16&lt;=0,0,MIN(2*PI()-0.000001,MAX(0.000001,($T16*81.52230382/$B16^2.166666667)^(1/3.333333333))))</f>
      </c>
      <c r="V16" s="14">
        <f>IF($T16&lt;=0,0,MIN(2*PI()-0.000001,MAX(0.000001,U16*($T16/(($B16^2*(U16-SIN(U16))/8)*(($B16/4)*(1-SIN(U16)/U16))^0.1666666667))^(1/MAX(((U16*(1-COS(U16))+0.1666666667*(SIN(U16)-U16*COS(U16)))/(U16-SIN(U16))),0.25)))))</f>
      </c>
      <c r="W16" s="14">
        <f>IF($T16&lt;=0,0,MIN(2*PI()-0.000001,MAX(0.000001,V16*($T16/(($B16^2*(V16-SIN(V16))/8)*(($B16/4)*(1-SIN(V16)/V16))^0.1666666667))^(1/MAX(((V16*(1-COS(V16))+0.1666666667*(SIN(V16)-V16*COS(V16)))/(V16-SIN(V16))),0.25)))))</f>
      </c>
      <c r="X16" s="14">
        <f>IF($T16&lt;=0,0,MIN(2*PI()-0.000001,MAX(0.000001,W16*($T16/(($B16^2*(W16-SIN(W16))/8)*(($B16/4)*(1-SIN(W16)/W16))^0.1666666667))^(1/MAX(((W16*(1-COS(W16))+0.1666666667*(SIN(W16)-W16*COS(W16)))/(W16-SIN(W16))),0.25)))))</f>
      </c>
      <c r="Y16" s="14">
        <f>IF($T16&lt;=0,0,MIN(2*PI()-0.000001,MAX(0.000001,X16*($T16/(($B16^2*(X16-SIN(X16))/8)*(($B16/4)*(1-SIN(X16)/X16))^0.1666666667))^(1/MAX(((X16*(1-COS(X16))+0.1666666667*(SIN(X16)-X16*COS(X16)))/(X16-SIN(X16))),0.25)))))</f>
      </c>
      <c r="Z16" s="14">
        <f>IF($T16&lt;=0,0,MIN(2*PI()-0.000001,MAX(0.000001,Y16*($T16/(($B16^2*(Y16-SIN(Y16))/8)*(($B16/4)*(1-SIN(Y16)/Y16))^0.1666666667))^(1/MAX(((Y16*(1-COS(Y16))+0.1666666667*(SIN(Y16)-Y16*COS(Y16)))/(Y16-SIN(Y16))),0.25)))))</f>
      </c>
      <c r="AA16" s="14">
        <f>IF($T16&lt;=0,0,MIN(2*PI()-0.000001,MAX(0.000001,Z16*($T16/(($B16^2*(Z16-SIN(Z16))/8)*(($B16/4)*(1-SIN(Z16)/Z16))^0.1666666667))^(1/MAX(((Z16*(1-COS(Z16))+0.1666666667*(SIN(Z16)-Z16*COS(Z16)))/(Z16-SIN(Z16))),0.25)))))</f>
      </c>
      <c r="AB16" s="14">
        <f>IF($T16&lt;=0,0,MIN(2*PI()-0.000001,MAX(0.000001,AA16*($T16/(($B16^2*(AA16-SIN(AA16))/8)*(($B16/4)*(1-SIN(AA16)/AA16))^0.1666666667))^(1/MAX(((AA16*(1-COS(AA16))+0.1666666667*(SIN(AA16)-AA16*COS(AA16)))/(AA16-SIN(AA16))),0.25)))))</f>
      </c>
      <c r="AC16" s="14">
        <f>IF($T16&lt;=0,0,MIN(2*PI()-0.000001,MAX(0.000001,AB16*($T16/(($B16^2*(AB16-SIN(AB16))/8)*(($B16/4)*(1-SIN(AB16)/AB16))^0.1666666667))^(1/MAX(((AB16*(1-COS(AB16))+0.1666666667*(SIN(AB16)-AB16*COS(AB16)))/(AB16-SIN(AB16))),0.25)))))</f>
      </c>
      <c r="AD16" s="14">
        <f>IF($T16&lt;=0,0,MIN(2*PI()-0.000001,MAX(0.000001,AC16*($T16/(($B16^2*(AC16-SIN(AC16))/8)*(($B16/4)*(1-SIN(AC16)/AC16))^0.1666666667))^(1/MAX(((AC16*(1-COS(AC16))+0.1666666667*(SIN(AC16)-AC16*COS(AC16)))/(AC16-SIN(AC16))),0.25)))))</f>
      </c>
      <c r="AE16" s="14">
        <f>IF($T16&lt;=0,0,MIN(2*PI()-0.000001,MAX(0.000001,AD16*($T16/(($B16^2*(AD16-SIN(AD16))/8)*(($B16/4)*(1-SIN(AD16)/AD16))^0.1666666667))^(1/MAX(((AD16*(1-COS(AD16))+0.1666666667*(SIN(AD16)-AD16*COS(AD16)))/(AD16-SIN(AD16))),0.25)))))</f>
      </c>
      <c r="AF16" s="14">
        <f>IF($T16&lt;=0,0,MIN(2*PI()-0.000001,MAX(0.000001,AE16*($T16/(($B16^2*(AE16-SIN(AE16))/8)*(($B16/4)*(1-SIN(AE16)/AE16))^0.1666666667))^(1/MAX(((AE16*(1-COS(AE16))+0.1666666667*(SIN(AE16)-AE16*COS(AE16)))/(AE16-SIN(AE16))),0.25)))))</f>
      </c>
      <c r="AG16" s="14">
        <f>IF($T16&lt;=0,0,MIN(2*PI()-0.000001,MAX(0.000001,AF16*($T16/(($B16^2*(AF16-SIN(AF16))/8)*(($B16/4)*(1-SIN(AF16)/AF16))^0.1666666667))^(1/MAX(((AF16*(1-COS(AF16))+0.1666666667*(SIN(AF16)-AF16*COS(AF16)))/(AF16-SIN(AF16))),0.25)))))</f>
      </c>
      <c r="AH16" s="14">
        <f>IF($T16&lt;=0,0,MIN(2*PI()-0.000001,MAX(0.000001,AG16*($T16/(($B16^2*(AG16-SIN(AG16))/8)*(($B16/4)*(1-SIN(AG16)/AG16))^0.1666666667))^(1/MAX(((AG16*(1-COS(AG16))+0.1666666667*(SIN(AG16)-AG16*COS(AG16)))/(AG16-SIN(AG16))),0.25)))))</f>
      </c>
      <c r="AI16" s="14">
        <f>IF($T16&lt;=0,0,MIN(2*PI()-0.000001,MAX(0.000001,AH16*($T16/(($B16^2*(AH16-SIN(AH16))/8)*(($B16/4)*(1-SIN(AH16)/AH16))^0.1666666667))^(1/MAX(((AH16*(1-COS(AH16))+0.1666666667*(SIN(AH16)-AH16*COS(AH16)))/(AH16-SIN(AH16))),0.25)))))</f>
      </c>
      <c r="AK16" s="14">
        <f>IF(PDWF_L_s&lt;=0,0,(PDWF_L_s/1000)/V_max)</f>
      </c>
      <c r="AL16" s="14">
        <f>IF($AK16&lt;=0,0,MIN(2*PI()-0.000001,MAX(0.000001,($AK16*48/$B16^2)^(1/3))))</f>
      </c>
      <c r="AM16" s="14">
        <f>IF($AK16&lt;=0,0,MIN(2*PI()-0.000001,MAX(0.000001,AL16*($AK16/($B16^2*(AL16-SIN(AL16))/8))^(1/MAX((AL16*(1-COS(AL16))/(AL16-SIN(AL16))),0.25)))))</f>
      </c>
      <c r="AN16" s="14">
        <f>IF($AK16&lt;=0,0,MIN(2*PI()-0.000001,MAX(0.000001,AM16*($AK16/($B16^2*(AM16-SIN(AM16))/8))^(1/MAX((AM16*(1-COS(AM16))/(AM16-SIN(AM16))),0.25)))))</f>
      </c>
      <c r="AO16" s="14">
        <f>IF($AK16&lt;=0,0,MIN(2*PI()-0.000001,MAX(0.000001,AN16*($AK16/($B16^2*(AN16-SIN(AN16))/8))^(1/MAX((AN16*(1-COS(AN16))/(AN16-SIN(AN16))),0.25)))))</f>
      </c>
      <c r="AP16" s="14">
        <f>IF($AK16&lt;=0,0,MIN(2*PI()-0.000001,MAX(0.000001,AO16*($AK16/($B16^2*(AO16-SIN(AO16))/8))^(1/MAX((AO16*(1-COS(AO16))/(AO16-SIN(AO16))),0.25)))))</f>
      </c>
      <c r="AQ16" s="14">
        <f>IF($AK16&lt;=0,0,MIN(2*PI()-0.000001,MAX(0.000001,AP16*($AK16/($B16^2*(AP16-SIN(AP16))/8))^(1/MAX((AP16*(1-COS(AP16))/(AP16-SIN(AP16))),0.25)))))</f>
      </c>
      <c r="AR16" s="14">
        <f>IF($AK16&lt;=0,0,MIN(2*PI()-0.000001,MAX(0.000001,AQ16*($AK16/($B16^2*(AQ16-SIN(AQ16))/8))^(1/MAX((AQ16*(1-COS(AQ16))/(AQ16-SIN(AQ16))),0.25)))))</f>
      </c>
      <c r="AS16" s="14">
        <f>IF($AK16&lt;=0,0,MIN(2*PI()-0.000001,MAX(0.000001,AR16*($AK16/($B16^2*(AR16-SIN(AR16))/8))^(1/MAX((AR16*(1-COS(AR16))/(AR16-SIN(AR16))),0.25)))))</f>
      </c>
      <c r="AT16" s="14">
        <f>IF($AK16&lt;=0,0,MIN(2*PI()-0.000001,MAX(0.000001,AS16*($AK16/($B16^2*(AS16-SIN(AS16))/8))^(1/MAX((AS16*(1-COS(AS16))/(AS16-SIN(AS16))),0.25)))))</f>
      </c>
      <c r="AU16" s="14">
        <f>IF($AK16&lt;=0,0,MIN(2*PI()-0.000001,MAX(0.000001,AT16*($AK16/($B16^2*(AT16-SIN(AT16))/8))^(1/MAX((AT16*(1-COS(AT16))/(AT16-SIN(AT16))),0.25)))))</f>
      </c>
      <c r="AV16" s="14">
        <f>IF($AK16&lt;=0,0,MIN(2*PI()-0.000001,MAX(0.000001,AU16*($AK16/($B16^2*(AU16-SIN(AU16))/8))^(1/MAX((AU16*(1-COS(AU16))/(AU16-SIN(AU16))),0.25)))))</f>
      </c>
      <c r="AW16" s="14">
        <f>IF($AK16&lt;=0,0,MIN(2*PI()-0.000001,MAX(0.000001,AV16*($AK16/($B16^2*(AV16-SIN(AV16))/8))^(1/MAX((AV16*(1-COS(AV16))/(AV16-SIN(AV16))),0.25)))))</f>
      </c>
      <c r="AX16" s="14">
        <f>IF($AK16&lt;=0,0,MIN(2*PI()-0.000001,MAX(0.000001,AW16*($AK16/($B16^2*(AW16-SIN(AW16))/8))^(1/MAX((AW16*(1-COS(AW16))/(AW16-SIN(AW16))),0.25)))))</f>
      </c>
      <c r="AY16" s="14">
        <f>IF($AK16&lt;=0,0,MIN(2*PI()-0.000001,MAX(0.000001,AX16*($AK16/($B16^2*(AX16-SIN(AX16))/8))^(1/MAX((AX16*(1-COS(AX16))/(AX16-SIN(AX16))),0.25)))))</f>
      </c>
      <c r="AZ16" s="14">
        <f>IF($AK16&lt;=0,0,MIN(2*PI()-0.000001,MAX(0.000001,AY16*($AK16/($B16^2*(AY16-SIN(AY16))/8))^(1/MAX((AY16*(1-COS(AY16))/(AY16-SIN(AY16))),0.25)))))</f>
      </c>
      <c r="BB16" s="14">
        <f>IF(OR(PWWF_L_s&lt;=0,'Grade Calculator'!$R16&lt;=0),0,(PWWF_L_s/1000)*n_Manning/SQRT('Grade Calculator'!$R16/100))</f>
      </c>
      <c r="BC16" s="14">
        <f>IF($BB16&lt;=0,0,MIN(2*PI()-0.000001,MAX(0.000001,($BB16*399.376094/$B16^2.666666667)^(1/4.333333333))))</f>
      </c>
      <c r="BD16" s="14">
        <f>IF($BB16&lt;=0,0,MIN(2*PI()-0.000001,MAX(0.000001,BC16*($BB16/(($B16^2*(BC16-SIN(BC16))/8)*(($B16/4)*(1-SIN(BC16)/BC16))^0.6666666667))^(1/MAX(((BC16*(1-COS(BC16))+0.6666666667*(SIN(BC16)-BC16*COS(BC16)))/(BC16-SIN(BC16))),0.25)))))</f>
      </c>
      <c r="BE16" s="14">
        <f>IF($BB16&lt;=0,0,MIN(2*PI()-0.000001,MAX(0.000001,BD16*($BB16/(($B16^2*(BD16-SIN(BD16))/8)*(($B16/4)*(1-SIN(BD16)/BD16))^0.6666666667))^(1/MAX(((BD16*(1-COS(BD16))+0.6666666667*(SIN(BD16)-BD16*COS(BD16)))/(BD16-SIN(BD16))),0.25)))))</f>
      </c>
      <c r="BF16" s="14">
        <f>IF($BB16&lt;=0,0,MIN(2*PI()-0.000001,MAX(0.000001,BE16*($BB16/(($B16^2*(BE16-SIN(BE16))/8)*(($B16/4)*(1-SIN(BE16)/BE16))^0.6666666667))^(1/MAX(((BE16*(1-COS(BE16))+0.6666666667*(SIN(BE16)-BE16*COS(BE16)))/(BE16-SIN(BE16))),0.25)))))</f>
      </c>
      <c r="BG16" s="14">
        <f>IF($BB16&lt;=0,0,MIN(2*PI()-0.000001,MAX(0.000001,BF16*($BB16/(($B16^2*(BF16-SIN(BF16))/8)*(($B16/4)*(1-SIN(BF16)/BF16))^0.6666666667))^(1/MAX(((BF16*(1-COS(BF16))+0.6666666667*(SIN(BF16)-BF16*COS(BF16)))/(BF16-SIN(BF16))),0.25)))))</f>
      </c>
      <c r="BH16" s="14">
        <f>IF($BB16&lt;=0,0,MIN(2*PI()-0.000001,MAX(0.000001,BG16*($BB16/(($B16^2*(BG16-SIN(BG16))/8)*(($B16/4)*(1-SIN(BG16)/BG16))^0.6666666667))^(1/MAX(((BG16*(1-COS(BG16))+0.6666666667*(SIN(BG16)-BG16*COS(BG16)))/(BG16-SIN(BG16))),0.25)))))</f>
      </c>
      <c r="BI16" s="14">
        <f>IF($BB16&lt;=0,0,MIN(2*PI()-0.000001,MAX(0.000001,BH16*($BB16/(($B16^2*(BH16-SIN(BH16))/8)*(($B16/4)*(1-SIN(BH16)/BH16))^0.6666666667))^(1/MAX(((BH16*(1-COS(BH16))+0.6666666667*(SIN(BH16)-BH16*COS(BH16)))/(BH16-SIN(BH16))),0.25)))))</f>
      </c>
      <c r="BJ16" s="14">
        <f>IF($BB16&lt;=0,0,MIN(2*PI()-0.000001,MAX(0.000001,BI16*($BB16/(($B16^2*(BI16-SIN(BI16))/8)*(($B16/4)*(1-SIN(BI16)/BI16))^0.6666666667))^(1/MAX(((BI16*(1-COS(BI16))+0.6666666667*(SIN(BI16)-BI16*COS(BI16)))/(BI16-SIN(BI16))),0.25)))))</f>
      </c>
      <c r="BK16" s="14">
        <f>IF($BB16&lt;=0,0,MIN(2*PI()-0.000001,MAX(0.000001,BJ16*($BB16/(($B16^2*(BJ16-SIN(BJ16))/8)*(($B16/4)*(1-SIN(BJ16)/BJ16))^0.6666666667))^(1/MAX(((BJ16*(1-COS(BJ16))+0.6666666667*(SIN(BJ16)-BJ16*COS(BJ16)))/(BJ16-SIN(BJ16))),0.25)))))</f>
      </c>
      <c r="BL16" s="14">
        <f>IF($BB16&lt;=0,0,MIN(2*PI()-0.000001,MAX(0.000001,BK16*($BB16/(($B16^2*(BK16-SIN(BK16))/8)*(($B16/4)*(1-SIN(BK16)/BK16))^0.6666666667))^(1/MAX(((BK16*(1-COS(BK16))+0.6666666667*(SIN(BK16)-BK16*COS(BK16)))/(BK16-SIN(BK16))),0.25)))))</f>
      </c>
      <c r="BM16" s="14">
        <f>IF($BB16&lt;=0,0,MIN(2*PI()-0.000001,MAX(0.000001,BL16*($BB16/(($B16^2*(BL16-SIN(BL16))/8)*(($B16/4)*(1-SIN(BL16)/BL16))^0.6666666667))^(1/MAX(((BL16*(1-COS(BL16))+0.6666666667*(SIN(BL16)-BL16*COS(BL16)))/(BL16-SIN(BL16))),0.25)))))</f>
      </c>
      <c r="BN16" s="14">
        <f>IF($BB16&lt;=0,0,MIN(2*PI()-0.000001,MAX(0.000001,BM16*($BB16/(($B16^2*(BM16-SIN(BM16))/8)*(($B16/4)*(1-SIN(BM16)/BM16))^0.6666666667))^(1/MAX(((BM16*(1-COS(BM16))+0.6666666667*(SIN(BM16)-BM16*COS(BM16)))/(BM16-SIN(BM16))),0.25)))))</f>
      </c>
      <c r="BO16" s="14">
        <f>IF($BB16&lt;=0,0,MIN(2*PI()-0.000001,MAX(0.000001,BN16*($BB16/(($B16^2*(BN16-SIN(BN16))/8)*(($B16/4)*(1-SIN(BN16)/BN16))^0.6666666667))^(1/MAX(((BN16*(1-COS(BN16))+0.6666666667*(SIN(BN16)-BN16*COS(BN16)))/(BN16-SIN(BN16))),0.25)))))</f>
      </c>
      <c r="BP16" s="14">
        <f>IF($BB16&lt;=0,0,MIN(2*PI()-0.000001,MAX(0.000001,BO16*($BB16/(($B16^2*(BO16-SIN(BO16))/8)*(($B16/4)*(1-SIN(BO16)/BO16))^0.6666666667))^(1/MAX(((BO16*(1-COS(BO16))+0.6666666667*(SIN(BO16)-BO16*COS(BO16)))/(BO16-SIN(BO16))),0.25)))))</f>
      </c>
      <c r="BQ16" s="14">
        <f>IF($BB16&lt;=0,0,MIN(2*PI()-0.000001,MAX(0.000001,BP16*($BB16/(($B16^2*(BP16-SIN(BP16))/8)*(($B16/4)*(1-SIN(BP16)/BP16))^0.6666666667))^(1/MAX(((BP16*(1-COS(BP16))+0.6666666667*(SIN(BP16)-BP16*COS(BP16)))/(BP16-SIN(BP16))),0.25)))))</f>
      </c>
    </row>
    <row r="17">
      <c r="A17" s="18">
        <f>'Grade Calculator'!$A17</f>
      </c>
      <c r="B17" s="14">
        <f>'Grade Calculator'!$B17</f>
      </c>
      <c r="C17" s="14">
        <f>IF('Grade Calculator'!$C17&lt;=0,0,('Grade Calculator'!$C17/1000)*n_Manning/SQRT(K_sss/100))</f>
      </c>
      <c r="D17" s="14">
        <f>IF($C17&lt;=0,0,MIN(2*PI()-0.000001,MAX(0.000001,($C17*81.52230382/$B17^2.166666667)^(1/3.333333333))))</f>
      </c>
      <c r="E17" s="14">
        <f>IF($C17&lt;=0,0,MIN(2*PI()-0.000001,MAX(0.000001,D17*($C17/(($B17^2*(D17-SIN(D17))/8)*(($B17/4)*(1-SIN(D17)/D17))^0.1666666667))^(1/MAX(((D17*(1-COS(D17))+0.1666666667*(SIN(D17)-D17*COS(D17)))/(D17-SIN(D17))),0.25)))))</f>
      </c>
      <c r="F17" s="14">
        <f>IF($C17&lt;=0,0,MIN(2*PI()-0.000001,MAX(0.000001,E17*($C17/(($B17^2*(E17-SIN(E17))/8)*(($B17/4)*(1-SIN(E17)/E17))^0.1666666667))^(1/MAX(((E17*(1-COS(E17))+0.1666666667*(SIN(E17)-E17*COS(E17)))/(E17-SIN(E17))),0.25)))))</f>
      </c>
      <c r="G17" s="14">
        <f>IF($C17&lt;=0,0,MIN(2*PI()-0.000001,MAX(0.000001,F17*($C17/(($B17^2*(F17-SIN(F17))/8)*(($B17/4)*(1-SIN(F17)/F17))^0.1666666667))^(1/MAX(((F17*(1-COS(F17))+0.1666666667*(SIN(F17)-F17*COS(F17)))/(F17-SIN(F17))),0.25)))))</f>
      </c>
      <c r="H17" s="14">
        <f>IF($C17&lt;=0,0,MIN(2*PI()-0.000001,MAX(0.000001,G17*($C17/(($B17^2*(G17-SIN(G17))/8)*(($B17/4)*(1-SIN(G17)/G17))^0.1666666667))^(1/MAX(((G17*(1-COS(G17))+0.1666666667*(SIN(G17)-G17*COS(G17)))/(G17-SIN(G17))),0.25)))))</f>
      </c>
      <c r="I17" s="14">
        <f>IF($C17&lt;=0,0,MIN(2*PI()-0.000001,MAX(0.000001,H17*($C17/(($B17^2*(H17-SIN(H17))/8)*(($B17/4)*(1-SIN(H17)/H17))^0.1666666667))^(1/MAX(((H17*(1-COS(H17))+0.1666666667*(SIN(H17)-H17*COS(H17)))/(H17-SIN(H17))),0.25)))))</f>
      </c>
      <c r="J17" s="14">
        <f>IF($C17&lt;=0,0,MIN(2*PI()-0.000001,MAX(0.000001,I17*($C17/(($B17^2*(I17-SIN(I17))/8)*(($B17/4)*(1-SIN(I17)/I17))^0.1666666667))^(1/MAX(((I17*(1-COS(I17))+0.1666666667*(SIN(I17)-I17*COS(I17)))/(I17-SIN(I17))),0.25)))))</f>
      </c>
      <c r="K17" s="14">
        <f>IF($C17&lt;=0,0,MIN(2*PI()-0.000001,MAX(0.000001,J17*($C17/(($B17^2*(J17-SIN(J17))/8)*(($B17/4)*(1-SIN(J17)/J17))^0.1666666667))^(1/MAX(((J17*(1-COS(J17))+0.1666666667*(SIN(J17)-J17*COS(J17)))/(J17-SIN(J17))),0.25)))))</f>
      </c>
      <c r="L17" s="14">
        <f>IF($C17&lt;=0,0,MIN(2*PI()-0.000001,MAX(0.000001,K17*($C17/(($B17^2*(K17-SIN(K17))/8)*(($B17/4)*(1-SIN(K17)/K17))^0.1666666667))^(1/MAX(((K17*(1-COS(K17))+0.1666666667*(SIN(K17)-K17*COS(K17)))/(K17-SIN(K17))),0.25)))))</f>
      </c>
      <c r="M17" s="14">
        <f>IF($C17&lt;=0,0,MIN(2*PI()-0.000001,MAX(0.000001,L17*($C17/(($B17^2*(L17-SIN(L17))/8)*(($B17/4)*(1-SIN(L17)/L17))^0.1666666667))^(1/MAX(((L17*(1-COS(L17))+0.1666666667*(SIN(L17)-L17*COS(L17)))/(L17-SIN(L17))),0.25)))))</f>
      </c>
      <c r="N17" s="14">
        <f>IF($C17&lt;=0,0,MIN(2*PI()-0.000001,MAX(0.000001,M17*($C17/(($B17^2*(M17-SIN(M17))/8)*(($B17/4)*(1-SIN(M17)/M17))^0.1666666667))^(1/MAX(((M17*(1-COS(M17))+0.1666666667*(SIN(M17)-M17*COS(M17)))/(M17-SIN(M17))),0.25)))))</f>
      </c>
      <c r="O17" s="14">
        <f>IF($C17&lt;=0,0,MIN(2*PI()-0.000001,MAX(0.000001,N17*($C17/(($B17^2*(N17-SIN(N17))/8)*(($B17/4)*(1-SIN(N17)/N17))^0.1666666667))^(1/MAX(((N17*(1-COS(N17))+0.1666666667*(SIN(N17)-N17*COS(N17)))/(N17-SIN(N17))),0.25)))))</f>
      </c>
      <c r="P17" s="14">
        <f>IF($C17&lt;=0,0,MIN(2*PI()-0.000001,MAX(0.000001,O17*($C17/(($B17^2*(O17-SIN(O17))/8)*(($B17/4)*(1-SIN(O17)/O17))^0.1666666667))^(1/MAX(((O17*(1-COS(O17))+0.1666666667*(SIN(O17)-O17*COS(O17)))/(O17-SIN(O17))),0.25)))))</f>
      </c>
      <c r="Q17" s="14">
        <f>IF($C17&lt;=0,0,MIN(2*PI()-0.000001,MAX(0.000001,P17*($C17/(($B17^2*(P17-SIN(P17))/8)*(($B17/4)*(1-SIN(P17)/P17))^0.1666666667))^(1/MAX(((P17*(1-COS(P17))+0.1666666667*(SIN(P17)-P17*COS(P17)))/(P17-SIN(P17))),0.25)))))</f>
      </c>
      <c r="R17" s="14">
        <f>IF($C17&lt;=0,0,MIN(2*PI()-0.000001,MAX(0.000001,Q17*($C17/(($B17^2*(Q17-SIN(Q17))/8)*(($B17/4)*(1-SIN(Q17)/Q17))^0.1666666667))^(1/MAX(((Q17*(1-COS(Q17))+0.1666666667*(SIN(Q17)-Q17*COS(Q17)))/(Q17-SIN(Q17))),0.25)))))</f>
      </c>
      <c r="T17" s="14">
        <f>IF('Grade Calculator'!$K17&lt;=0,0,('Grade Calculator'!$K17/1000)*n_Manning/SQRT(K_sc/100))</f>
      </c>
      <c r="U17" s="14">
        <f>IF($T17&lt;=0,0,MIN(2*PI()-0.000001,MAX(0.000001,($T17*81.52230382/$B17^2.166666667)^(1/3.333333333))))</f>
      </c>
      <c r="V17" s="14">
        <f>IF($T17&lt;=0,0,MIN(2*PI()-0.000001,MAX(0.000001,U17*($T17/(($B17^2*(U17-SIN(U17))/8)*(($B17/4)*(1-SIN(U17)/U17))^0.1666666667))^(1/MAX(((U17*(1-COS(U17))+0.1666666667*(SIN(U17)-U17*COS(U17)))/(U17-SIN(U17))),0.25)))))</f>
      </c>
      <c r="W17" s="14">
        <f>IF($T17&lt;=0,0,MIN(2*PI()-0.000001,MAX(0.000001,V17*($T17/(($B17^2*(V17-SIN(V17))/8)*(($B17/4)*(1-SIN(V17)/V17))^0.1666666667))^(1/MAX(((V17*(1-COS(V17))+0.1666666667*(SIN(V17)-V17*COS(V17)))/(V17-SIN(V17))),0.25)))))</f>
      </c>
      <c r="X17" s="14">
        <f>IF($T17&lt;=0,0,MIN(2*PI()-0.000001,MAX(0.000001,W17*($T17/(($B17^2*(W17-SIN(W17))/8)*(($B17/4)*(1-SIN(W17)/W17))^0.1666666667))^(1/MAX(((W17*(1-COS(W17))+0.1666666667*(SIN(W17)-W17*COS(W17)))/(W17-SIN(W17))),0.25)))))</f>
      </c>
      <c r="Y17" s="14">
        <f>IF($T17&lt;=0,0,MIN(2*PI()-0.000001,MAX(0.000001,X17*($T17/(($B17^2*(X17-SIN(X17))/8)*(($B17/4)*(1-SIN(X17)/X17))^0.1666666667))^(1/MAX(((X17*(1-COS(X17))+0.1666666667*(SIN(X17)-X17*COS(X17)))/(X17-SIN(X17))),0.25)))))</f>
      </c>
      <c r="Z17" s="14">
        <f>IF($T17&lt;=0,0,MIN(2*PI()-0.000001,MAX(0.000001,Y17*($T17/(($B17^2*(Y17-SIN(Y17))/8)*(($B17/4)*(1-SIN(Y17)/Y17))^0.1666666667))^(1/MAX(((Y17*(1-COS(Y17))+0.1666666667*(SIN(Y17)-Y17*COS(Y17)))/(Y17-SIN(Y17))),0.25)))))</f>
      </c>
      <c r="AA17" s="14">
        <f>IF($T17&lt;=0,0,MIN(2*PI()-0.000001,MAX(0.000001,Z17*($T17/(($B17^2*(Z17-SIN(Z17))/8)*(($B17/4)*(1-SIN(Z17)/Z17))^0.1666666667))^(1/MAX(((Z17*(1-COS(Z17))+0.1666666667*(SIN(Z17)-Z17*COS(Z17)))/(Z17-SIN(Z17))),0.25)))))</f>
      </c>
      <c r="AB17" s="14">
        <f>IF($T17&lt;=0,0,MIN(2*PI()-0.000001,MAX(0.000001,AA17*($T17/(($B17^2*(AA17-SIN(AA17))/8)*(($B17/4)*(1-SIN(AA17)/AA17))^0.1666666667))^(1/MAX(((AA17*(1-COS(AA17))+0.1666666667*(SIN(AA17)-AA17*COS(AA17)))/(AA17-SIN(AA17))),0.25)))))</f>
      </c>
      <c r="AC17" s="14">
        <f>IF($T17&lt;=0,0,MIN(2*PI()-0.000001,MAX(0.000001,AB17*($T17/(($B17^2*(AB17-SIN(AB17))/8)*(($B17/4)*(1-SIN(AB17)/AB17))^0.1666666667))^(1/MAX(((AB17*(1-COS(AB17))+0.1666666667*(SIN(AB17)-AB17*COS(AB17)))/(AB17-SIN(AB17))),0.25)))))</f>
      </c>
      <c r="AD17" s="14">
        <f>IF($T17&lt;=0,0,MIN(2*PI()-0.000001,MAX(0.000001,AC17*($T17/(($B17^2*(AC17-SIN(AC17))/8)*(($B17/4)*(1-SIN(AC17)/AC17))^0.1666666667))^(1/MAX(((AC17*(1-COS(AC17))+0.1666666667*(SIN(AC17)-AC17*COS(AC17)))/(AC17-SIN(AC17))),0.25)))))</f>
      </c>
      <c r="AE17" s="14">
        <f>IF($T17&lt;=0,0,MIN(2*PI()-0.000001,MAX(0.000001,AD17*($T17/(($B17^2*(AD17-SIN(AD17))/8)*(($B17/4)*(1-SIN(AD17)/AD17))^0.1666666667))^(1/MAX(((AD17*(1-COS(AD17))+0.1666666667*(SIN(AD17)-AD17*COS(AD17)))/(AD17-SIN(AD17))),0.25)))))</f>
      </c>
      <c r="AF17" s="14">
        <f>IF($T17&lt;=0,0,MIN(2*PI()-0.000001,MAX(0.000001,AE17*($T17/(($B17^2*(AE17-SIN(AE17))/8)*(($B17/4)*(1-SIN(AE17)/AE17))^0.1666666667))^(1/MAX(((AE17*(1-COS(AE17))+0.1666666667*(SIN(AE17)-AE17*COS(AE17)))/(AE17-SIN(AE17))),0.25)))))</f>
      </c>
      <c r="AG17" s="14">
        <f>IF($T17&lt;=0,0,MIN(2*PI()-0.000001,MAX(0.000001,AF17*($T17/(($B17^2*(AF17-SIN(AF17))/8)*(($B17/4)*(1-SIN(AF17)/AF17))^0.1666666667))^(1/MAX(((AF17*(1-COS(AF17))+0.1666666667*(SIN(AF17)-AF17*COS(AF17)))/(AF17-SIN(AF17))),0.25)))))</f>
      </c>
      <c r="AH17" s="14">
        <f>IF($T17&lt;=0,0,MIN(2*PI()-0.000001,MAX(0.000001,AG17*($T17/(($B17^2*(AG17-SIN(AG17))/8)*(($B17/4)*(1-SIN(AG17)/AG17))^0.1666666667))^(1/MAX(((AG17*(1-COS(AG17))+0.1666666667*(SIN(AG17)-AG17*COS(AG17)))/(AG17-SIN(AG17))),0.25)))))</f>
      </c>
      <c r="AI17" s="14">
        <f>IF($T17&lt;=0,0,MIN(2*PI()-0.000001,MAX(0.000001,AH17*($T17/(($B17^2*(AH17-SIN(AH17))/8)*(($B17/4)*(1-SIN(AH17)/AH17))^0.1666666667))^(1/MAX(((AH17*(1-COS(AH17))+0.1666666667*(SIN(AH17)-AH17*COS(AH17)))/(AH17-SIN(AH17))),0.25)))))</f>
      </c>
      <c r="AK17" s="14">
        <f>IF(PDWF_L_s&lt;=0,0,(PDWF_L_s/1000)/V_max)</f>
      </c>
      <c r="AL17" s="14">
        <f>IF($AK17&lt;=0,0,MIN(2*PI()-0.000001,MAX(0.000001,($AK17*48/$B17^2)^(1/3))))</f>
      </c>
      <c r="AM17" s="14">
        <f>IF($AK17&lt;=0,0,MIN(2*PI()-0.000001,MAX(0.000001,AL17*($AK17/($B17^2*(AL17-SIN(AL17))/8))^(1/MAX((AL17*(1-COS(AL17))/(AL17-SIN(AL17))),0.25)))))</f>
      </c>
      <c r="AN17" s="14">
        <f>IF($AK17&lt;=0,0,MIN(2*PI()-0.000001,MAX(0.000001,AM17*($AK17/($B17^2*(AM17-SIN(AM17))/8))^(1/MAX((AM17*(1-COS(AM17))/(AM17-SIN(AM17))),0.25)))))</f>
      </c>
      <c r="AO17" s="14">
        <f>IF($AK17&lt;=0,0,MIN(2*PI()-0.000001,MAX(0.000001,AN17*($AK17/($B17^2*(AN17-SIN(AN17))/8))^(1/MAX((AN17*(1-COS(AN17))/(AN17-SIN(AN17))),0.25)))))</f>
      </c>
      <c r="AP17" s="14">
        <f>IF($AK17&lt;=0,0,MIN(2*PI()-0.000001,MAX(0.000001,AO17*($AK17/($B17^2*(AO17-SIN(AO17))/8))^(1/MAX((AO17*(1-COS(AO17))/(AO17-SIN(AO17))),0.25)))))</f>
      </c>
      <c r="AQ17" s="14">
        <f>IF($AK17&lt;=0,0,MIN(2*PI()-0.000001,MAX(0.000001,AP17*($AK17/($B17^2*(AP17-SIN(AP17))/8))^(1/MAX((AP17*(1-COS(AP17))/(AP17-SIN(AP17))),0.25)))))</f>
      </c>
      <c r="AR17" s="14">
        <f>IF($AK17&lt;=0,0,MIN(2*PI()-0.000001,MAX(0.000001,AQ17*($AK17/($B17^2*(AQ17-SIN(AQ17))/8))^(1/MAX((AQ17*(1-COS(AQ17))/(AQ17-SIN(AQ17))),0.25)))))</f>
      </c>
      <c r="AS17" s="14">
        <f>IF($AK17&lt;=0,0,MIN(2*PI()-0.000001,MAX(0.000001,AR17*($AK17/($B17^2*(AR17-SIN(AR17))/8))^(1/MAX((AR17*(1-COS(AR17))/(AR17-SIN(AR17))),0.25)))))</f>
      </c>
      <c r="AT17" s="14">
        <f>IF($AK17&lt;=0,0,MIN(2*PI()-0.000001,MAX(0.000001,AS17*($AK17/($B17^2*(AS17-SIN(AS17))/8))^(1/MAX((AS17*(1-COS(AS17))/(AS17-SIN(AS17))),0.25)))))</f>
      </c>
      <c r="AU17" s="14">
        <f>IF($AK17&lt;=0,0,MIN(2*PI()-0.000001,MAX(0.000001,AT17*($AK17/($B17^2*(AT17-SIN(AT17))/8))^(1/MAX((AT17*(1-COS(AT17))/(AT17-SIN(AT17))),0.25)))))</f>
      </c>
      <c r="AV17" s="14">
        <f>IF($AK17&lt;=0,0,MIN(2*PI()-0.000001,MAX(0.000001,AU17*($AK17/($B17^2*(AU17-SIN(AU17))/8))^(1/MAX((AU17*(1-COS(AU17))/(AU17-SIN(AU17))),0.25)))))</f>
      </c>
      <c r="AW17" s="14">
        <f>IF($AK17&lt;=0,0,MIN(2*PI()-0.000001,MAX(0.000001,AV17*($AK17/($B17^2*(AV17-SIN(AV17))/8))^(1/MAX((AV17*(1-COS(AV17))/(AV17-SIN(AV17))),0.25)))))</f>
      </c>
      <c r="AX17" s="14">
        <f>IF($AK17&lt;=0,0,MIN(2*PI()-0.000001,MAX(0.000001,AW17*($AK17/($B17^2*(AW17-SIN(AW17))/8))^(1/MAX((AW17*(1-COS(AW17))/(AW17-SIN(AW17))),0.25)))))</f>
      </c>
      <c r="AY17" s="14">
        <f>IF($AK17&lt;=0,0,MIN(2*PI()-0.000001,MAX(0.000001,AX17*($AK17/($B17^2*(AX17-SIN(AX17))/8))^(1/MAX((AX17*(1-COS(AX17))/(AX17-SIN(AX17))),0.25)))))</f>
      </c>
      <c r="AZ17" s="14">
        <f>IF($AK17&lt;=0,0,MIN(2*PI()-0.000001,MAX(0.000001,AY17*($AK17/($B17^2*(AY17-SIN(AY17))/8))^(1/MAX((AY17*(1-COS(AY17))/(AY17-SIN(AY17))),0.25)))))</f>
      </c>
      <c r="BB17" s="14">
        <f>IF(OR(PWWF_L_s&lt;=0,'Grade Calculator'!$R17&lt;=0),0,(PWWF_L_s/1000)*n_Manning/SQRT('Grade Calculator'!$R17/100))</f>
      </c>
      <c r="BC17" s="14">
        <f>IF($BB17&lt;=0,0,MIN(2*PI()-0.000001,MAX(0.000001,($BB17*399.376094/$B17^2.666666667)^(1/4.333333333))))</f>
      </c>
      <c r="BD17" s="14">
        <f>IF($BB17&lt;=0,0,MIN(2*PI()-0.000001,MAX(0.000001,BC17*($BB17/(($B17^2*(BC17-SIN(BC17))/8)*(($B17/4)*(1-SIN(BC17)/BC17))^0.6666666667))^(1/MAX(((BC17*(1-COS(BC17))+0.6666666667*(SIN(BC17)-BC17*COS(BC17)))/(BC17-SIN(BC17))),0.25)))))</f>
      </c>
      <c r="BE17" s="14">
        <f>IF($BB17&lt;=0,0,MIN(2*PI()-0.000001,MAX(0.000001,BD17*($BB17/(($B17^2*(BD17-SIN(BD17))/8)*(($B17/4)*(1-SIN(BD17)/BD17))^0.6666666667))^(1/MAX(((BD17*(1-COS(BD17))+0.6666666667*(SIN(BD17)-BD17*COS(BD17)))/(BD17-SIN(BD17))),0.25)))))</f>
      </c>
      <c r="BF17" s="14">
        <f>IF($BB17&lt;=0,0,MIN(2*PI()-0.000001,MAX(0.000001,BE17*($BB17/(($B17^2*(BE17-SIN(BE17))/8)*(($B17/4)*(1-SIN(BE17)/BE17))^0.6666666667))^(1/MAX(((BE17*(1-COS(BE17))+0.6666666667*(SIN(BE17)-BE17*COS(BE17)))/(BE17-SIN(BE17))),0.25)))))</f>
      </c>
      <c r="BG17" s="14">
        <f>IF($BB17&lt;=0,0,MIN(2*PI()-0.000001,MAX(0.000001,BF17*($BB17/(($B17^2*(BF17-SIN(BF17))/8)*(($B17/4)*(1-SIN(BF17)/BF17))^0.6666666667))^(1/MAX(((BF17*(1-COS(BF17))+0.6666666667*(SIN(BF17)-BF17*COS(BF17)))/(BF17-SIN(BF17))),0.25)))))</f>
      </c>
      <c r="BH17" s="14">
        <f>IF($BB17&lt;=0,0,MIN(2*PI()-0.000001,MAX(0.000001,BG17*($BB17/(($B17^2*(BG17-SIN(BG17))/8)*(($B17/4)*(1-SIN(BG17)/BG17))^0.6666666667))^(1/MAX(((BG17*(1-COS(BG17))+0.6666666667*(SIN(BG17)-BG17*COS(BG17)))/(BG17-SIN(BG17))),0.25)))))</f>
      </c>
      <c r="BI17" s="14">
        <f>IF($BB17&lt;=0,0,MIN(2*PI()-0.000001,MAX(0.000001,BH17*($BB17/(($B17^2*(BH17-SIN(BH17))/8)*(($B17/4)*(1-SIN(BH17)/BH17))^0.6666666667))^(1/MAX(((BH17*(1-COS(BH17))+0.6666666667*(SIN(BH17)-BH17*COS(BH17)))/(BH17-SIN(BH17))),0.25)))))</f>
      </c>
      <c r="BJ17" s="14">
        <f>IF($BB17&lt;=0,0,MIN(2*PI()-0.000001,MAX(0.000001,BI17*($BB17/(($B17^2*(BI17-SIN(BI17))/8)*(($B17/4)*(1-SIN(BI17)/BI17))^0.6666666667))^(1/MAX(((BI17*(1-COS(BI17))+0.6666666667*(SIN(BI17)-BI17*COS(BI17)))/(BI17-SIN(BI17))),0.25)))))</f>
      </c>
      <c r="BK17" s="14">
        <f>IF($BB17&lt;=0,0,MIN(2*PI()-0.000001,MAX(0.000001,BJ17*($BB17/(($B17^2*(BJ17-SIN(BJ17))/8)*(($B17/4)*(1-SIN(BJ17)/BJ17))^0.6666666667))^(1/MAX(((BJ17*(1-COS(BJ17))+0.6666666667*(SIN(BJ17)-BJ17*COS(BJ17)))/(BJ17-SIN(BJ17))),0.25)))))</f>
      </c>
      <c r="BL17" s="14">
        <f>IF($BB17&lt;=0,0,MIN(2*PI()-0.000001,MAX(0.000001,BK17*($BB17/(($B17^2*(BK17-SIN(BK17))/8)*(($B17/4)*(1-SIN(BK17)/BK17))^0.6666666667))^(1/MAX(((BK17*(1-COS(BK17))+0.6666666667*(SIN(BK17)-BK17*COS(BK17)))/(BK17-SIN(BK17))),0.25)))))</f>
      </c>
      <c r="BM17" s="14">
        <f>IF($BB17&lt;=0,0,MIN(2*PI()-0.000001,MAX(0.000001,BL17*($BB17/(($B17^2*(BL17-SIN(BL17))/8)*(($B17/4)*(1-SIN(BL17)/BL17))^0.6666666667))^(1/MAX(((BL17*(1-COS(BL17))+0.6666666667*(SIN(BL17)-BL17*COS(BL17)))/(BL17-SIN(BL17))),0.25)))))</f>
      </c>
      <c r="BN17" s="14">
        <f>IF($BB17&lt;=0,0,MIN(2*PI()-0.000001,MAX(0.000001,BM17*($BB17/(($B17^2*(BM17-SIN(BM17))/8)*(($B17/4)*(1-SIN(BM17)/BM17))^0.6666666667))^(1/MAX(((BM17*(1-COS(BM17))+0.6666666667*(SIN(BM17)-BM17*COS(BM17)))/(BM17-SIN(BM17))),0.25)))))</f>
      </c>
      <c r="BO17" s="14">
        <f>IF($BB17&lt;=0,0,MIN(2*PI()-0.000001,MAX(0.000001,BN17*($BB17/(($B17^2*(BN17-SIN(BN17))/8)*(($B17/4)*(1-SIN(BN17)/BN17))^0.6666666667))^(1/MAX(((BN17*(1-COS(BN17))+0.6666666667*(SIN(BN17)-BN17*COS(BN17)))/(BN17-SIN(BN17))),0.25)))))</f>
      </c>
      <c r="BP17" s="14">
        <f>IF($BB17&lt;=0,0,MIN(2*PI()-0.000001,MAX(0.000001,BO17*($BB17/(($B17^2*(BO17-SIN(BO17))/8)*(($B17/4)*(1-SIN(BO17)/BO17))^0.6666666667))^(1/MAX(((BO17*(1-COS(BO17))+0.6666666667*(SIN(BO17)-BO17*COS(BO17)))/(BO17-SIN(BO17))),0.25)))))</f>
      </c>
      <c r="BQ17" s="14">
        <f>IF($BB17&lt;=0,0,MIN(2*PI()-0.000001,MAX(0.000001,BP17*($BB17/(($B17^2*(BP17-SIN(BP17))/8)*(($B17/4)*(1-SIN(BP17)/BP17))^0.6666666667))^(1/MAX(((BP17*(1-COS(BP17))+0.6666666667*(SIN(BP17)-BP17*COS(BP17)))/(BP17-SIN(BP17))),0.25)))))</f>
      </c>
    </row>
    <row r="18">
      <c r="A18" s="18">
        <f>'Grade Calculator'!$A18</f>
      </c>
      <c r="B18" s="14">
        <f>'Grade Calculator'!$B18</f>
      </c>
      <c r="C18" s="14">
        <f>IF('Grade Calculator'!$C18&lt;=0,0,('Grade Calculator'!$C18/1000)*n_Manning/SQRT(K_sss/100))</f>
      </c>
      <c r="D18" s="14">
        <f>IF($C18&lt;=0,0,MIN(2*PI()-0.000001,MAX(0.000001,($C18*81.52230382/$B18^2.166666667)^(1/3.333333333))))</f>
      </c>
      <c r="E18" s="14">
        <f>IF($C18&lt;=0,0,MIN(2*PI()-0.000001,MAX(0.000001,D18*($C18/(($B18^2*(D18-SIN(D18))/8)*(($B18/4)*(1-SIN(D18)/D18))^0.1666666667))^(1/MAX(((D18*(1-COS(D18))+0.1666666667*(SIN(D18)-D18*COS(D18)))/(D18-SIN(D18))),0.25)))))</f>
      </c>
      <c r="F18" s="14">
        <f>IF($C18&lt;=0,0,MIN(2*PI()-0.000001,MAX(0.000001,E18*($C18/(($B18^2*(E18-SIN(E18))/8)*(($B18/4)*(1-SIN(E18)/E18))^0.1666666667))^(1/MAX(((E18*(1-COS(E18))+0.1666666667*(SIN(E18)-E18*COS(E18)))/(E18-SIN(E18))),0.25)))))</f>
      </c>
      <c r="G18" s="14">
        <f>IF($C18&lt;=0,0,MIN(2*PI()-0.000001,MAX(0.000001,F18*($C18/(($B18^2*(F18-SIN(F18))/8)*(($B18/4)*(1-SIN(F18)/F18))^0.1666666667))^(1/MAX(((F18*(1-COS(F18))+0.1666666667*(SIN(F18)-F18*COS(F18)))/(F18-SIN(F18))),0.25)))))</f>
      </c>
      <c r="H18" s="14">
        <f>IF($C18&lt;=0,0,MIN(2*PI()-0.000001,MAX(0.000001,G18*($C18/(($B18^2*(G18-SIN(G18))/8)*(($B18/4)*(1-SIN(G18)/G18))^0.1666666667))^(1/MAX(((G18*(1-COS(G18))+0.1666666667*(SIN(G18)-G18*COS(G18)))/(G18-SIN(G18))),0.25)))))</f>
      </c>
      <c r="I18" s="14">
        <f>IF($C18&lt;=0,0,MIN(2*PI()-0.000001,MAX(0.000001,H18*($C18/(($B18^2*(H18-SIN(H18))/8)*(($B18/4)*(1-SIN(H18)/H18))^0.1666666667))^(1/MAX(((H18*(1-COS(H18))+0.1666666667*(SIN(H18)-H18*COS(H18)))/(H18-SIN(H18))),0.25)))))</f>
      </c>
      <c r="J18" s="14">
        <f>IF($C18&lt;=0,0,MIN(2*PI()-0.000001,MAX(0.000001,I18*($C18/(($B18^2*(I18-SIN(I18))/8)*(($B18/4)*(1-SIN(I18)/I18))^0.1666666667))^(1/MAX(((I18*(1-COS(I18))+0.1666666667*(SIN(I18)-I18*COS(I18)))/(I18-SIN(I18))),0.25)))))</f>
      </c>
      <c r="K18" s="14">
        <f>IF($C18&lt;=0,0,MIN(2*PI()-0.000001,MAX(0.000001,J18*($C18/(($B18^2*(J18-SIN(J18))/8)*(($B18/4)*(1-SIN(J18)/J18))^0.1666666667))^(1/MAX(((J18*(1-COS(J18))+0.1666666667*(SIN(J18)-J18*COS(J18)))/(J18-SIN(J18))),0.25)))))</f>
      </c>
      <c r="L18" s="14">
        <f>IF($C18&lt;=0,0,MIN(2*PI()-0.000001,MAX(0.000001,K18*($C18/(($B18^2*(K18-SIN(K18))/8)*(($B18/4)*(1-SIN(K18)/K18))^0.1666666667))^(1/MAX(((K18*(1-COS(K18))+0.1666666667*(SIN(K18)-K18*COS(K18)))/(K18-SIN(K18))),0.25)))))</f>
      </c>
      <c r="M18" s="14">
        <f>IF($C18&lt;=0,0,MIN(2*PI()-0.000001,MAX(0.000001,L18*($C18/(($B18^2*(L18-SIN(L18))/8)*(($B18/4)*(1-SIN(L18)/L18))^0.1666666667))^(1/MAX(((L18*(1-COS(L18))+0.1666666667*(SIN(L18)-L18*COS(L18)))/(L18-SIN(L18))),0.25)))))</f>
      </c>
      <c r="N18" s="14">
        <f>IF($C18&lt;=0,0,MIN(2*PI()-0.000001,MAX(0.000001,M18*($C18/(($B18^2*(M18-SIN(M18))/8)*(($B18/4)*(1-SIN(M18)/M18))^0.1666666667))^(1/MAX(((M18*(1-COS(M18))+0.1666666667*(SIN(M18)-M18*COS(M18)))/(M18-SIN(M18))),0.25)))))</f>
      </c>
      <c r="O18" s="14">
        <f>IF($C18&lt;=0,0,MIN(2*PI()-0.000001,MAX(0.000001,N18*($C18/(($B18^2*(N18-SIN(N18))/8)*(($B18/4)*(1-SIN(N18)/N18))^0.1666666667))^(1/MAX(((N18*(1-COS(N18))+0.1666666667*(SIN(N18)-N18*COS(N18)))/(N18-SIN(N18))),0.25)))))</f>
      </c>
      <c r="P18" s="14">
        <f>IF($C18&lt;=0,0,MIN(2*PI()-0.000001,MAX(0.000001,O18*($C18/(($B18^2*(O18-SIN(O18))/8)*(($B18/4)*(1-SIN(O18)/O18))^0.1666666667))^(1/MAX(((O18*(1-COS(O18))+0.1666666667*(SIN(O18)-O18*COS(O18)))/(O18-SIN(O18))),0.25)))))</f>
      </c>
      <c r="Q18" s="14">
        <f>IF($C18&lt;=0,0,MIN(2*PI()-0.000001,MAX(0.000001,P18*($C18/(($B18^2*(P18-SIN(P18))/8)*(($B18/4)*(1-SIN(P18)/P18))^0.1666666667))^(1/MAX(((P18*(1-COS(P18))+0.1666666667*(SIN(P18)-P18*COS(P18)))/(P18-SIN(P18))),0.25)))))</f>
      </c>
      <c r="R18" s="14">
        <f>IF($C18&lt;=0,0,MIN(2*PI()-0.000001,MAX(0.000001,Q18*($C18/(($B18^2*(Q18-SIN(Q18))/8)*(($B18/4)*(1-SIN(Q18)/Q18))^0.1666666667))^(1/MAX(((Q18*(1-COS(Q18))+0.1666666667*(SIN(Q18)-Q18*COS(Q18)))/(Q18-SIN(Q18))),0.25)))))</f>
      </c>
      <c r="T18" s="14">
        <f>IF('Grade Calculator'!$K18&lt;=0,0,('Grade Calculator'!$K18/1000)*n_Manning/SQRT(K_sc/100))</f>
      </c>
      <c r="U18" s="14">
        <f>IF($T18&lt;=0,0,MIN(2*PI()-0.000001,MAX(0.000001,($T18*81.52230382/$B18^2.166666667)^(1/3.333333333))))</f>
      </c>
      <c r="V18" s="14">
        <f>IF($T18&lt;=0,0,MIN(2*PI()-0.000001,MAX(0.000001,U18*($T18/(($B18^2*(U18-SIN(U18))/8)*(($B18/4)*(1-SIN(U18)/U18))^0.1666666667))^(1/MAX(((U18*(1-COS(U18))+0.1666666667*(SIN(U18)-U18*COS(U18)))/(U18-SIN(U18))),0.25)))))</f>
      </c>
      <c r="W18" s="14">
        <f>IF($T18&lt;=0,0,MIN(2*PI()-0.000001,MAX(0.000001,V18*($T18/(($B18^2*(V18-SIN(V18))/8)*(($B18/4)*(1-SIN(V18)/V18))^0.1666666667))^(1/MAX(((V18*(1-COS(V18))+0.1666666667*(SIN(V18)-V18*COS(V18)))/(V18-SIN(V18))),0.25)))))</f>
      </c>
      <c r="X18" s="14">
        <f>IF($T18&lt;=0,0,MIN(2*PI()-0.000001,MAX(0.000001,W18*($T18/(($B18^2*(W18-SIN(W18))/8)*(($B18/4)*(1-SIN(W18)/W18))^0.1666666667))^(1/MAX(((W18*(1-COS(W18))+0.1666666667*(SIN(W18)-W18*COS(W18)))/(W18-SIN(W18))),0.25)))))</f>
      </c>
      <c r="Y18" s="14">
        <f>IF($T18&lt;=0,0,MIN(2*PI()-0.000001,MAX(0.000001,X18*($T18/(($B18^2*(X18-SIN(X18))/8)*(($B18/4)*(1-SIN(X18)/X18))^0.1666666667))^(1/MAX(((X18*(1-COS(X18))+0.1666666667*(SIN(X18)-X18*COS(X18)))/(X18-SIN(X18))),0.25)))))</f>
      </c>
      <c r="Z18" s="14">
        <f>IF($T18&lt;=0,0,MIN(2*PI()-0.000001,MAX(0.000001,Y18*($T18/(($B18^2*(Y18-SIN(Y18))/8)*(($B18/4)*(1-SIN(Y18)/Y18))^0.1666666667))^(1/MAX(((Y18*(1-COS(Y18))+0.1666666667*(SIN(Y18)-Y18*COS(Y18)))/(Y18-SIN(Y18))),0.25)))))</f>
      </c>
      <c r="AA18" s="14">
        <f>IF($T18&lt;=0,0,MIN(2*PI()-0.000001,MAX(0.000001,Z18*($T18/(($B18^2*(Z18-SIN(Z18))/8)*(($B18/4)*(1-SIN(Z18)/Z18))^0.1666666667))^(1/MAX(((Z18*(1-COS(Z18))+0.1666666667*(SIN(Z18)-Z18*COS(Z18)))/(Z18-SIN(Z18))),0.25)))))</f>
      </c>
      <c r="AB18" s="14">
        <f>IF($T18&lt;=0,0,MIN(2*PI()-0.000001,MAX(0.000001,AA18*($T18/(($B18^2*(AA18-SIN(AA18))/8)*(($B18/4)*(1-SIN(AA18)/AA18))^0.1666666667))^(1/MAX(((AA18*(1-COS(AA18))+0.1666666667*(SIN(AA18)-AA18*COS(AA18)))/(AA18-SIN(AA18))),0.25)))))</f>
      </c>
      <c r="AC18" s="14">
        <f>IF($T18&lt;=0,0,MIN(2*PI()-0.000001,MAX(0.000001,AB18*($T18/(($B18^2*(AB18-SIN(AB18))/8)*(($B18/4)*(1-SIN(AB18)/AB18))^0.1666666667))^(1/MAX(((AB18*(1-COS(AB18))+0.1666666667*(SIN(AB18)-AB18*COS(AB18)))/(AB18-SIN(AB18))),0.25)))))</f>
      </c>
      <c r="AD18" s="14">
        <f>IF($T18&lt;=0,0,MIN(2*PI()-0.000001,MAX(0.000001,AC18*($T18/(($B18^2*(AC18-SIN(AC18))/8)*(($B18/4)*(1-SIN(AC18)/AC18))^0.1666666667))^(1/MAX(((AC18*(1-COS(AC18))+0.1666666667*(SIN(AC18)-AC18*COS(AC18)))/(AC18-SIN(AC18))),0.25)))))</f>
      </c>
      <c r="AE18" s="14">
        <f>IF($T18&lt;=0,0,MIN(2*PI()-0.000001,MAX(0.000001,AD18*($T18/(($B18^2*(AD18-SIN(AD18))/8)*(($B18/4)*(1-SIN(AD18)/AD18))^0.1666666667))^(1/MAX(((AD18*(1-COS(AD18))+0.1666666667*(SIN(AD18)-AD18*COS(AD18)))/(AD18-SIN(AD18))),0.25)))))</f>
      </c>
      <c r="AF18" s="14">
        <f>IF($T18&lt;=0,0,MIN(2*PI()-0.000001,MAX(0.000001,AE18*($T18/(($B18^2*(AE18-SIN(AE18))/8)*(($B18/4)*(1-SIN(AE18)/AE18))^0.1666666667))^(1/MAX(((AE18*(1-COS(AE18))+0.1666666667*(SIN(AE18)-AE18*COS(AE18)))/(AE18-SIN(AE18))),0.25)))))</f>
      </c>
      <c r="AG18" s="14">
        <f>IF($T18&lt;=0,0,MIN(2*PI()-0.000001,MAX(0.000001,AF18*($T18/(($B18^2*(AF18-SIN(AF18))/8)*(($B18/4)*(1-SIN(AF18)/AF18))^0.1666666667))^(1/MAX(((AF18*(1-COS(AF18))+0.1666666667*(SIN(AF18)-AF18*COS(AF18)))/(AF18-SIN(AF18))),0.25)))))</f>
      </c>
      <c r="AH18" s="14">
        <f>IF($T18&lt;=0,0,MIN(2*PI()-0.000001,MAX(0.000001,AG18*($T18/(($B18^2*(AG18-SIN(AG18))/8)*(($B18/4)*(1-SIN(AG18)/AG18))^0.1666666667))^(1/MAX(((AG18*(1-COS(AG18))+0.1666666667*(SIN(AG18)-AG18*COS(AG18)))/(AG18-SIN(AG18))),0.25)))))</f>
      </c>
      <c r="AI18" s="14">
        <f>IF($T18&lt;=0,0,MIN(2*PI()-0.000001,MAX(0.000001,AH18*($T18/(($B18^2*(AH18-SIN(AH18))/8)*(($B18/4)*(1-SIN(AH18)/AH18))^0.1666666667))^(1/MAX(((AH18*(1-COS(AH18))+0.1666666667*(SIN(AH18)-AH18*COS(AH18)))/(AH18-SIN(AH18))),0.25)))))</f>
      </c>
      <c r="AK18" s="14">
        <f>IF(PDWF_L_s&lt;=0,0,(PDWF_L_s/1000)/V_max)</f>
      </c>
      <c r="AL18" s="14">
        <f>IF($AK18&lt;=0,0,MIN(2*PI()-0.000001,MAX(0.000001,($AK18*48/$B18^2)^(1/3))))</f>
      </c>
      <c r="AM18" s="14">
        <f>IF($AK18&lt;=0,0,MIN(2*PI()-0.000001,MAX(0.000001,AL18*($AK18/($B18^2*(AL18-SIN(AL18))/8))^(1/MAX((AL18*(1-COS(AL18))/(AL18-SIN(AL18))),0.25)))))</f>
      </c>
      <c r="AN18" s="14">
        <f>IF($AK18&lt;=0,0,MIN(2*PI()-0.000001,MAX(0.000001,AM18*($AK18/($B18^2*(AM18-SIN(AM18))/8))^(1/MAX((AM18*(1-COS(AM18))/(AM18-SIN(AM18))),0.25)))))</f>
      </c>
      <c r="AO18" s="14">
        <f>IF($AK18&lt;=0,0,MIN(2*PI()-0.000001,MAX(0.000001,AN18*($AK18/($B18^2*(AN18-SIN(AN18))/8))^(1/MAX((AN18*(1-COS(AN18))/(AN18-SIN(AN18))),0.25)))))</f>
      </c>
      <c r="AP18" s="14">
        <f>IF($AK18&lt;=0,0,MIN(2*PI()-0.000001,MAX(0.000001,AO18*($AK18/($B18^2*(AO18-SIN(AO18))/8))^(1/MAX((AO18*(1-COS(AO18))/(AO18-SIN(AO18))),0.25)))))</f>
      </c>
      <c r="AQ18" s="14">
        <f>IF($AK18&lt;=0,0,MIN(2*PI()-0.000001,MAX(0.000001,AP18*($AK18/($B18^2*(AP18-SIN(AP18))/8))^(1/MAX((AP18*(1-COS(AP18))/(AP18-SIN(AP18))),0.25)))))</f>
      </c>
      <c r="AR18" s="14">
        <f>IF($AK18&lt;=0,0,MIN(2*PI()-0.000001,MAX(0.000001,AQ18*($AK18/($B18^2*(AQ18-SIN(AQ18))/8))^(1/MAX((AQ18*(1-COS(AQ18))/(AQ18-SIN(AQ18))),0.25)))))</f>
      </c>
      <c r="AS18" s="14">
        <f>IF($AK18&lt;=0,0,MIN(2*PI()-0.000001,MAX(0.000001,AR18*($AK18/($B18^2*(AR18-SIN(AR18))/8))^(1/MAX((AR18*(1-COS(AR18))/(AR18-SIN(AR18))),0.25)))))</f>
      </c>
      <c r="AT18" s="14">
        <f>IF($AK18&lt;=0,0,MIN(2*PI()-0.000001,MAX(0.000001,AS18*($AK18/($B18^2*(AS18-SIN(AS18))/8))^(1/MAX((AS18*(1-COS(AS18))/(AS18-SIN(AS18))),0.25)))))</f>
      </c>
      <c r="AU18" s="14">
        <f>IF($AK18&lt;=0,0,MIN(2*PI()-0.000001,MAX(0.000001,AT18*($AK18/($B18^2*(AT18-SIN(AT18))/8))^(1/MAX((AT18*(1-COS(AT18))/(AT18-SIN(AT18))),0.25)))))</f>
      </c>
      <c r="AV18" s="14">
        <f>IF($AK18&lt;=0,0,MIN(2*PI()-0.000001,MAX(0.000001,AU18*($AK18/($B18^2*(AU18-SIN(AU18))/8))^(1/MAX((AU18*(1-COS(AU18))/(AU18-SIN(AU18))),0.25)))))</f>
      </c>
      <c r="AW18" s="14">
        <f>IF($AK18&lt;=0,0,MIN(2*PI()-0.000001,MAX(0.000001,AV18*($AK18/($B18^2*(AV18-SIN(AV18))/8))^(1/MAX((AV18*(1-COS(AV18))/(AV18-SIN(AV18))),0.25)))))</f>
      </c>
      <c r="AX18" s="14">
        <f>IF($AK18&lt;=0,0,MIN(2*PI()-0.000001,MAX(0.000001,AW18*($AK18/($B18^2*(AW18-SIN(AW18))/8))^(1/MAX((AW18*(1-COS(AW18))/(AW18-SIN(AW18))),0.25)))))</f>
      </c>
      <c r="AY18" s="14">
        <f>IF($AK18&lt;=0,0,MIN(2*PI()-0.000001,MAX(0.000001,AX18*($AK18/($B18^2*(AX18-SIN(AX18))/8))^(1/MAX((AX18*(1-COS(AX18))/(AX18-SIN(AX18))),0.25)))))</f>
      </c>
      <c r="AZ18" s="14">
        <f>IF($AK18&lt;=0,0,MIN(2*PI()-0.000001,MAX(0.000001,AY18*($AK18/($B18^2*(AY18-SIN(AY18))/8))^(1/MAX((AY18*(1-COS(AY18))/(AY18-SIN(AY18))),0.25)))))</f>
      </c>
      <c r="BB18" s="14">
        <f>IF(OR(PWWF_L_s&lt;=0,'Grade Calculator'!$R18&lt;=0),0,(PWWF_L_s/1000)*n_Manning/SQRT('Grade Calculator'!$R18/100))</f>
      </c>
      <c r="BC18" s="14">
        <f>IF($BB18&lt;=0,0,MIN(2*PI()-0.000001,MAX(0.000001,($BB18*399.376094/$B18^2.666666667)^(1/4.333333333))))</f>
      </c>
      <c r="BD18" s="14">
        <f>IF($BB18&lt;=0,0,MIN(2*PI()-0.000001,MAX(0.000001,BC18*($BB18/(($B18^2*(BC18-SIN(BC18))/8)*(($B18/4)*(1-SIN(BC18)/BC18))^0.6666666667))^(1/MAX(((BC18*(1-COS(BC18))+0.6666666667*(SIN(BC18)-BC18*COS(BC18)))/(BC18-SIN(BC18))),0.25)))))</f>
      </c>
      <c r="BE18" s="14">
        <f>IF($BB18&lt;=0,0,MIN(2*PI()-0.000001,MAX(0.000001,BD18*($BB18/(($B18^2*(BD18-SIN(BD18))/8)*(($B18/4)*(1-SIN(BD18)/BD18))^0.6666666667))^(1/MAX(((BD18*(1-COS(BD18))+0.6666666667*(SIN(BD18)-BD18*COS(BD18)))/(BD18-SIN(BD18))),0.25)))))</f>
      </c>
      <c r="BF18" s="14">
        <f>IF($BB18&lt;=0,0,MIN(2*PI()-0.000001,MAX(0.000001,BE18*($BB18/(($B18^2*(BE18-SIN(BE18))/8)*(($B18/4)*(1-SIN(BE18)/BE18))^0.6666666667))^(1/MAX(((BE18*(1-COS(BE18))+0.6666666667*(SIN(BE18)-BE18*COS(BE18)))/(BE18-SIN(BE18))),0.25)))))</f>
      </c>
      <c r="BG18" s="14">
        <f>IF($BB18&lt;=0,0,MIN(2*PI()-0.000001,MAX(0.000001,BF18*($BB18/(($B18^2*(BF18-SIN(BF18))/8)*(($B18/4)*(1-SIN(BF18)/BF18))^0.6666666667))^(1/MAX(((BF18*(1-COS(BF18))+0.6666666667*(SIN(BF18)-BF18*COS(BF18)))/(BF18-SIN(BF18))),0.25)))))</f>
      </c>
      <c r="BH18" s="14">
        <f>IF($BB18&lt;=0,0,MIN(2*PI()-0.000001,MAX(0.000001,BG18*($BB18/(($B18^2*(BG18-SIN(BG18))/8)*(($B18/4)*(1-SIN(BG18)/BG18))^0.6666666667))^(1/MAX(((BG18*(1-COS(BG18))+0.6666666667*(SIN(BG18)-BG18*COS(BG18)))/(BG18-SIN(BG18))),0.25)))))</f>
      </c>
      <c r="BI18" s="14">
        <f>IF($BB18&lt;=0,0,MIN(2*PI()-0.000001,MAX(0.000001,BH18*($BB18/(($B18^2*(BH18-SIN(BH18))/8)*(($B18/4)*(1-SIN(BH18)/BH18))^0.6666666667))^(1/MAX(((BH18*(1-COS(BH18))+0.6666666667*(SIN(BH18)-BH18*COS(BH18)))/(BH18-SIN(BH18))),0.25)))))</f>
      </c>
      <c r="BJ18" s="14">
        <f>IF($BB18&lt;=0,0,MIN(2*PI()-0.000001,MAX(0.000001,BI18*($BB18/(($B18^2*(BI18-SIN(BI18))/8)*(($B18/4)*(1-SIN(BI18)/BI18))^0.6666666667))^(1/MAX(((BI18*(1-COS(BI18))+0.6666666667*(SIN(BI18)-BI18*COS(BI18)))/(BI18-SIN(BI18))),0.25)))))</f>
      </c>
      <c r="BK18" s="14">
        <f>IF($BB18&lt;=0,0,MIN(2*PI()-0.000001,MAX(0.000001,BJ18*($BB18/(($B18^2*(BJ18-SIN(BJ18))/8)*(($B18/4)*(1-SIN(BJ18)/BJ18))^0.6666666667))^(1/MAX(((BJ18*(1-COS(BJ18))+0.6666666667*(SIN(BJ18)-BJ18*COS(BJ18)))/(BJ18-SIN(BJ18))),0.25)))))</f>
      </c>
      <c r="BL18" s="14">
        <f>IF($BB18&lt;=0,0,MIN(2*PI()-0.000001,MAX(0.000001,BK18*($BB18/(($B18^2*(BK18-SIN(BK18))/8)*(($B18/4)*(1-SIN(BK18)/BK18))^0.6666666667))^(1/MAX(((BK18*(1-COS(BK18))+0.6666666667*(SIN(BK18)-BK18*COS(BK18)))/(BK18-SIN(BK18))),0.25)))))</f>
      </c>
      <c r="BM18" s="14">
        <f>IF($BB18&lt;=0,0,MIN(2*PI()-0.000001,MAX(0.000001,BL18*($BB18/(($B18^2*(BL18-SIN(BL18))/8)*(($B18/4)*(1-SIN(BL18)/BL18))^0.6666666667))^(1/MAX(((BL18*(1-COS(BL18))+0.6666666667*(SIN(BL18)-BL18*COS(BL18)))/(BL18-SIN(BL18))),0.25)))))</f>
      </c>
      <c r="BN18" s="14">
        <f>IF($BB18&lt;=0,0,MIN(2*PI()-0.000001,MAX(0.000001,BM18*($BB18/(($B18^2*(BM18-SIN(BM18))/8)*(($B18/4)*(1-SIN(BM18)/BM18))^0.6666666667))^(1/MAX(((BM18*(1-COS(BM18))+0.6666666667*(SIN(BM18)-BM18*COS(BM18)))/(BM18-SIN(BM18))),0.25)))))</f>
      </c>
      <c r="BO18" s="14">
        <f>IF($BB18&lt;=0,0,MIN(2*PI()-0.000001,MAX(0.000001,BN18*($BB18/(($B18^2*(BN18-SIN(BN18))/8)*(($B18/4)*(1-SIN(BN18)/BN18))^0.6666666667))^(1/MAX(((BN18*(1-COS(BN18))+0.6666666667*(SIN(BN18)-BN18*COS(BN18)))/(BN18-SIN(BN18))),0.25)))))</f>
      </c>
      <c r="BP18" s="14">
        <f>IF($BB18&lt;=0,0,MIN(2*PI()-0.000001,MAX(0.000001,BO18*($BB18/(($B18^2*(BO18-SIN(BO18))/8)*(($B18/4)*(1-SIN(BO18)/BO18))^0.6666666667))^(1/MAX(((BO18*(1-COS(BO18))+0.6666666667*(SIN(BO18)-BO18*COS(BO18)))/(BO18-SIN(BO18))),0.25)))))</f>
      </c>
      <c r="BQ18" s="14">
        <f>IF($BB18&lt;=0,0,MIN(2*PI()-0.000001,MAX(0.000001,BP18*($BB18/(($B18^2*(BP18-SIN(BP18))/8)*(($B18/4)*(1-SIN(BP18)/BP18))^0.6666666667))^(1/MAX(((BP18*(1-COS(BP18))+0.6666666667*(SIN(BP18)-BP18*COS(BP18)))/(BP18-SIN(BP18))),0.25)))))</f>
      </c>
    </row>
    <row r="19">
      <c r="A19" s="18">
        <f>'Grade Calculator'!$A19</f>
      </c>
      <c r="B19" s="14">
        <f>'Grade Calculator'!$B19</f>
      </c>
      <c r="C19" s="14">
        <f>IF('Grade Calculator'!$C19&lt;=0,0,('Grade Calculator'!$C19/1000)*n_Manning/SQRT(K_sss/100))</f>
      </c>
      <c r="D19" s="14">
        <f>IF($C19&lt;=0,0,MIN(2*PI()-0.000001,MAX(0.000001,($C19*81.52230382/$B19^2.166666667)^(1/3.333333333))))</f>
      </c>
      <c r="E19" s="14">
        <f>IF($C19&lt;=0,0,MIN(2*PI()-0.000001,MAX(0.000001,D19*($C19/(($B19^2*(D19-SIN(D19))/8)*(($B19/4)*(1-SIN(D19)/D19))^0.1666666667))^(1/MAX(((D19*(1-COS(D19))+0.1666666667*(SIN(D19)-D19*COS(D19)))/(D19-SIN(D19))),0.25)))))</f>
      </c>
      <c r="F19" s="14">
        <f>IF($C19&lt;=0,0,MIN(2*PI()-0.000001,MAX(0.000001,E19*($C19/(($B19^2*(E19-SIN(E19))/8)*(($B19/4)*(1-SIN(E19)/E19))^0.1666666667))^(1/MAX(((E19*(1-COS(E19))+0.1666666667*(SIN(E19)-E19*COS(E19)))/(E19-SIN(E19))),0.25)))))</f>
      </c>
      <c r="G19" s="14">
        <f>IF($C19&lt;=0,0,MIN(2*PI()-0.000001,MAX(0.000001,F19*($C19/(($B19^2*(F19-SIN(F19))/8)*(($B19/4)*(1-SIN(F19)/F19))^0.1666666667))^(1/MAX(((F19*(1-COS(F19))+0.1666666667*(SIN(F19)-F19*COS(F19)))/(F19-SIN(F19))),0.25)))))</f>
      </c>
      <c r="H19" s="14">
        <f>IF($C19&lt;=0,0,MIN(2*PI()-0.000001,MAX(0.000001,G19*($C19/(($B19^2*(G19-SIN(G19))/8)*(($B19/4)*(1-SIN(G19)/G19))^0.1666666667))^(1/MAX(((G19*(1-COS(G19))+0.1666666667*(SIN(G19)-G19*COS(G19)))/(G19-SIN(G19))),0.25)))))</f>
      </c>
      <c r="I19" s="14">
        <f>IF($C19&lt;=0,0,MIN(2*PI()-0.000001,MAX(0.000001,H19*($C19/(($B19^2*(H19-SIN(H19))/8)*(($B19/4)*(1-SIN(H19)/H19))^0.1666666667))^(1/MAX(((H19*(1-COS(H19))+0.1666666667*(SIN(H19)-H19*COS(H19)))/(H19-SIN(H19))),0.25)))))</f>
      </c>
      <c r="J19" s="14">
        <f>IF($C19&lt;=0,0,MIN(2*PI()-0.000001,MAX(0.000001,I19*($C19/(($B19^2*(I19-SIN(I19))/8)*(($B19/4)*(1-SIN(I19)/I19))^0.1666666667))^(1/MAX(((I19*(1-COS(I19))+0.1666666667*(SIN(I19)-I19*COS(I19)))/(I19-SIN(I19))),0.25)))))</f>
      </c>
      <c r="K19" s="14">
        <f>IF($C19&lt;=0,0,MIN(2*PI()-0.000001,MAX(0.000001,J19*($C19/(($B19^2*(J19-SIN(J19))/8)*(($B19/4)*(1-SIN(J19)/J19))^0.1666666667))^(1/MAX(((J19*(1-COS(J19))+0.1666666667*(SIN(J19)-J19*COS(J19)))/(J19-SIN(J19))),0.25)))))</f>
      </c>
      <c r="L19" s="14">
        <f>IF($C19&lt;=0,0,MIN(2*PI()-0.000001,MAX(0.000001,K19*($C19/(($B19^2*(K19-SIN(K19))/8)*(($B19/4)*(1-SIN(K19)/K19))^0.1666666667))^(1/MAX(((K19*(1-COS(K19))+0.1666666667*(SIN(K19)-K19*COS(K19)))/(K19-SIN(K19))),0.25)))))</f>
      </c>
      <c r="M19" s="14">
        <f>IF($C19&lt;=0,0,MIN(2*PI()-0.000001,MAX(0.000001,L19*($C19/(($B19^2*(L19-SIN(L19))/8)*(($B19/4)*(1-SIN(L19)/L19))^0.1666666667))^(1/MAX(((L19*(1-COS(L19))+0.1666666667*(SIN(L19)-L19*COS(L19)))/(L19-SIN(L19))),0.25)))))</f>
      </c>
      <c r="N19" s="14">
        <f>IF($C19&lt;=0,0,MIN(2*PI()-0.000001,MAX(0.000001,M19*($C19/(($B19^2*(M19-SIN(M19))/8)*(($B19/4)*(1-SIN(M19)/M19))^0.1666666667))^(1/MAX(((M19*(1-COS(M19))+0.1666666667*(SIN(M19)-M19*COS(M19)))/(M19-SIN(M19))),0.25)))))</f>
      </c>
      <c r="O19" s="14">
        <f>IF($C19&lt;=0,0,MIN(2*PI()-0.000001,MAX(0.000001,N19*($C19/(($B19^2*(N19-SIN(N19))/8)*(($B19/4)*(1-SIN(N19)/N19))^0.1666666667))^(1/MAX(((N19*(1-COS(N19))+0.1666666667*(SIN(N19)-N19*COS(N19)))/(N19-SIN(N19))),0.25)))))</f>
      </c>
      <c r="P19" s="14">
        <f>IF($C19&lt;=0,0,MIN(2*PI()-0.000001,MAX(0.000001,O19*($C19/(($B19^2*(O19-SIN(O19))/8)*(($B19/4)*(1-SIN(O19)/O19))^0.1666666667))^(1/MAX(((O19*(1-COS(O19))+0.1666666667*(SIN(O19)-O19*COS(O19)))/(O19-SIN(O19))),0.25)))))</f>
      </c>
      <c r="Q19" s="14">
        <f>IF($C19&lt;=0,0,MIN(2*PI()-0.000001,MAX(0.000001,P19*($C19/(($B19^2*(P19-SIN(P19))/8)*(($B19/4)*(1-SIN(P19)/P19))^0.1666666667))^(1/MAX(((P19*(1-COS(P19))+0.1666666667*(SIN(P19)-P19*COS(P19)))/(P19-SIN(P19))),0.25)))))</f>
      </c>
      <c r="R19" s="14">
        <f>IF($C19&lt;=0,0,MIN(2*PI()-0.000001,MAX(0.000001,Q19*($C19/(($B19^2*(Q19-SIN(Q19))/8)*(($B19/4)*(1-SIN(Q19)/Q19))^0.1666666667))^(1/MAX(((Q19*(1-COS(Q19))+0.1666666667*(SIN(Q19)-Q19*COS(Q19)))/(Q19-SIN(Q19))),0.25)))))</f>
      </c>
      <c r="T19" s="14">
        <f>IF('Grade Calculator'!$K19&lt;=0,0,('Grade Calculator'!$K19/1000)*n_Manning/SQRT(K_sc/100))</f>
      </c>
      <c r="U19" s="14">
        <f>IF($T19&lt;=0,0,MIN(2*PI()-0.000001,MAX(0.000001,($T19*81.52230382/$B19^2.166666667)^(1/3.333333333))))</f>
      </c>
      <c r="V19" s="14">
        <f>IF($T19&lt;=0,0,MIN(2*PI()-0.000001,MAX(0.000001,U19*($T19/(($B19^2*(U19-SIN(U19))/8)*(($B19/4)*(1-SIN(U19)/U19))^0.1666666667))^(1/MAX(((U19*(1-COS(U19))+0.1666666667*(SIN(U19)-U19*COS(U19)))/(U19-SIN(U19))),0.25)))))</f>
      </c>
      <c r="W19" s="14">
        <f>IF($T19&lt;=0,0,MIN(2*PI()-0.000001,MAX(0.000001,V19*($T19/(($B19^2*(V19-SIN(V19))/8)*(($B19/4)*(1-SIN(V19)/V19))^0.1666666667))^(1/MAX(((V19*(1-COS(V19))+0.1666666667*(SIN(V19)-V19*COS(V19)))/(V19-SIN(V19))),0.25)))))</f>
      </c>
      <c r="X19" s="14">
        <f>IF($T19&lt;=0,0,MIN(2*PI()-0.000001,MAX(0.000001,W19*($T19/(($B19^2*(W19-SIN(W19))/8)*(($B19/4)*(1-SIN(W19)/W19))^0.1666666667))^(1/MAX(((W19*(1-COS(W19))+0.1666666667*(SIN(W19)-W19*COS(W19)))/(W19-SIN(W19))),0.25)))))</f>
      </c>
      <c r="Y19" s="14">
        <f>IF($T19&lt;=0,0,MIN(2*PI()-0.000001,MAX(0.000001,X19*($T19/(($B19^2*(X19-SIN(X19))/8)*(($B19/4)*(1-SIN(X19)/X19))^0.1666666667))^(1/MAX(((X19*(1-COS(X19))+0.1666666667*(SIN(X19)-X19*COS(X19)))/(X19-SIN(X19))),0.25)))))</f>
      </c>
      <c r="Z19" s="14">
        <f>IF($T19&lt;=0,0,MIN(2*PI()-0.000001,MAX(0.000001,Y19*($T19/(($B19^2*(Y19-SIN(Y19))/8)*(($B19/4)*(1-SIN(Y19)/Y19))^0.1666666667))^(1/MAX(((Y19*(1-COS(Y19))+0.1666666667*(SIN(Y19)-Y19*COS(Y19)))/(Y19-SIN(Y19))),0.25)))))</f>
      </c>
      <c r="AA19" s="14">
        <f>IF($T19&lt;=0,0,MIN(2*PI()-0.000001,MAX(0.000001,Z19*($T19/(($B19^2*(Z19-SIN(Z19))/8)*(($B19/4)*(1-SIN(Z19)/Z19))^0.1666666667))^(1/MAX(((Z19*(1-COS(Z19))+0.1666666667*(SIN(Z19)-Z19*COS(Z19)))/(Z19-SIN(Z19))),0.25)))))</f>
      </c>
      <c r="AB19" s="14">
        <f>IF($T19&lt;=0,0,MIN(2*PI()-0.000001,MAX(0.000001,AA19*($T19/(($B19^2*(AA19-SIN(AA19))/8)*(($B19/4)*(1-SIN(AA19)/AA19))^0.1666666667))^(1/MAX(((AA19*(1-COS(AA19))+0.1666666667*(SIN(AA19)-AA19*COS(AA19)))/(AA19-SIN(AA19))),0.25)))))</f>
      </c>
      <c r="AC19" s="14">
        <f>IF($T19&lt;=0,0,MIN(2*PI()-0.000001,MAX(0.000001,AB19*($T19/(($B19^2*(AB19-SIN(AB19))/8)*(($B19/4)*(1-SIN(AB19)/AB19))^0.1666666667))^(1/MAX(((AB19*(1-COS(AB19))+0.1666666667*(SIN(AB19)-AB19*COS(AB19)))/(AB19-SIN(AB19))),0.25)))))</f>
      </c>
      <c r="AD19" s="14">
        <f>IF($T19&lt;=0,0,MIN(2*PI()-0.000001,MAX(0.000001,AC19*($T19/(($B19^2*(AC19-SIN(AC19))/8)*(($B19/4)*(1-SIN(AC19)/AC19))^0.1666666667))^(1/MAX(((AC19*(1-COS(AC19))+0.1666666667*(SIN(AC19)-AC19*COS(AC19)))/(AC19-SIN(AC19))),0.25)))))</f>
      </c>
      <c r="AE19" s="14">
        <f>IF($T19&lt;=0,0,MIN(2*PI()-0.000001,MAX(0.000001,AD19*($T19/(($B19^2*(AD19-SIN(AD19))/8)*(($B19/4)*(1-SIN(AD19)/AD19))^0.1666666667))^(1/MAX(((AD19*(1-COS(AD19))+0.1666666667*(SIN(AD19)-AD19*COS(AD19)))/(AD19-SIN(AD19))),0.25)))))</f>
      </c>
      <c r="AF19" s="14">
        <f>IF($T19&lt;=0,0,MIN(2*PI()-0.000001,MAX(0.000001,AE19*($T19/(($B19^2*(AE19-SIN(AE19))/8)*(($B19/4)*(1-SIN(AE19)/AE19))^0.1666666667))^(1/MAX(((AE19*(1-COS(AE19))+0.1666666667*(SIN(AE19)-AE19*COS(AE19)))/(AE19-SIN(AE19))),0.25)))))</f>
      </c>
      <c r="AG19" s="14">
        <f>IF($T19&lt;=0,0,MIN(2*PI()-0.000001,MAX(0.000001,AF19*($T19/(($B19^2*(AF19-SIN(AF19))/8)*(($B19/4)*(1-SIN(AF19)/AF19))^0.1666666667))^(1/MAX(((AF19*(1-COS(AF19))+0.1666666667*(SIN(AF19)-AF19*COS(AF19)))/(AF19-SIN(AF19))),0.25)))))</f>
      </c>
      <c r="AH19" s="14">
        <f>IF($T19&lt;=0,0,MIN(2*PI()-0.000001,MAX(0.000001,AG19*($T19/(($B19^2*(AG19-SIN(AG19))/8)*(($B19/4)*(1-SIN(AG19)/AG19))^0.1666666667))^(1/MAX(((AG19*(1-COS(AG19))+0.1666666667*(SIN(AG19)-AG19*COS(AG19)))/(AG19-SIN(AG19))),0.25)))))</f>
      </c>
      <c r="AI19" s="14">
        <f>IF($T19&lt;=0,0,MIN(2*PI()-0.000001,MAX(0.000001,AH19*($T19/(($B19^2*(AH19-SIN(AH19))/8)*(($B19/4)*(1-SIN(AH19)/AH19))^0.1666666667))^(1/MAX(((AH19*(1-COS(AH19))+0.1666666667*(SIN(AH19)-AH19*COS(AH19)))/(AH19-SIN(AH19))),0.25)))))</f>
      </c>
      <c r="AK19" s="14">
        <f>IF(PDWF_L_s&lt;=0,0,(PDWF_L_s/1000)/V_max)</f>
      </c>
      <c r="AL19" s="14">
        <f>IF($AK19&lt;=0,0,MIN(2*PI()-0.000001,MAX(0.000001,($AK19*48/$B19^2)^(1/3))))</f>
      </c>
      <c r="AM19" s="14">
        <f>IF($AK19&lt;=0,0,MIN(2*PI()-0.000001,MAX(0.000001,AL19*($AK19/($B19^2*(AL19-SIN(AL19))/8))^(1/MAX((AL19*(1-COS(AL19))/(AL19-SIN(AL19))),0.25)))))</f>
      </c>
      <c r="AN19" s="14">
        <f>IF($AK19&lt;=0,0,MIN(2*PI()-0.000001,MAX(0.000001,AM19*($AK19/($B19^2*(AM19-SIN(AM19))/8))^(1/MAX((AM19*(1-COS(AM19))/(AM19-SIN(AM19))),0.25)))))</f>
      </c>
      <c r="AO19" s="14">
        <f>IF($AK19&lt;=0,0,MIN(2*PI()-0.000001,MAX(0.000001,AN19*($AK19/($B19^2*(AN19-SIN(AN19))/8))^(1/MAX((AN19*(1-COS(AN19))/(AN19-SIN(AN19))),0.25)))))</f>
      </c>
      <c r="AP19" s="14">
        <f>IF($AK19&lt;=0,0,MIN(2*PI()-0.000001,MAX(0.000001,AO19*($AK19/($B19^2*(AO19-SIN(AO19))/8))^(1/MAX((AO19*(1-COS(AO19))/(AO19-SIN(AO19))),0.25)))))</f>
      </c>
      <c r="AQ19" s="14">
        <f>IF($AK19&lt;=0,0,MIN(2*PI()-0.000001,MAX(0.000001,AP19*($AK19/($B19^2*(AP19-SIN(AP19))/8))^(1/MAX((AP19*(1-COS(AP19))/(AP19-SIN(AP19))),0.25)))))</f>
      </c>
      <c r="AR19" s="14">
        <f>IF($AK19&lt;=0,0,MIN(2*PI()-0.000001,MAX(0.000001,AQ19*($AK19/($B19^2*(AQ19-SIN(AQ19))/8))^(1/MAX((AQ19*(1-COS(AQ19))/(AQ19-SIN(AQ19))),0.25)))))</f>
      </c>
      <c r="AS19" s="14">
        <f>IF($AK19&lt;=0,0,MIN(2*PI()-0.000001,MAX(0.000001,AR19*($AK19/($B19^2*(AR19-SIN(AR19))/8))^(1/MAX((AR19*(1-COS(AR19))/(AR19-SIN(AR19))),0.25)))))</f>
      </c>
      <c r="AT19" s="14">
        <f>IF($AK19&lt;=0,0,MIN(2*PI()-0.000001,MAX(0.000001,AS19*($AK19/($B19^2*(AS19-SIN(AS19))/8))^(1/MAX((AS19*(1-COS(AS19))/(AS19-SIN(AS19))),0.25)))))</f>
      </c>
      <c r="AU19" s="14">
        <f>IF($AK19&lt;=0,0,MIN(2*PI()-0.000001,MAX(0.000001,AT19*($AK19/($B19^2*(AT19-SIN(AT19))/8))^(1/MAX((AT19*(1-COS(AT19))/(AT19-SIN(AT19))),0.25)))))</f>
      </c>
      <c r="AV19" s="14">
        <f>IF($AK19&lt;=0,0,MIN(2*PI()-0.000001,MAX(0.000001,AU19*($AK19/($B19^2*(AU19-SIN(AU19))/8))^(1/MAX((AU19*(1-COS(AU19))/(AU19-SIN(AU19))),0.25)))))</f>
      </c>
      <c r="AW19" s="14">
        <f>IF($AK19&lt;=0,0,MIN(2*PI()-0.000001,MAX(0.000001,AV19*($AK19/($B19^2*(AV19-SIN(AV19))/8))^(1/MAX((AV19*(1-COS(AV19))/(AV19-SIN(AV19))),0.25)))))</f>
      </c>
      <c r="AX19" s="14">
        <f>IF($AK19&lt;=0,0,MIN(2*PI()-0.000001,MAX(0.000001,AW19*($AK19/($B19^2*(AW19-SIN(AW19))/8))^(1/MAX((AW19*(1-COS(AW19))/(AW19-SIN(AW19))),0.25)))))</f>
      </c>
      <c r="AY19" s="14">
        <f>IF($AK19&lt;=0,0,MIN(2*PI()-0.000001,MAX(0.000001,AX19*($AK19/($B19^2*(AX19-SIN(AX19))/8))^(1/MAX((AX19*(1-COS(AX19))/(AX19-SIN(AX19))),0.25)))))</f>
      </c>
      <c r="AZ19" s="14">
        <f>IF($AK19&lt;=0,0,MIN(2*PI()-0.000001,MAX(0.000001,AY19*($AK19/($B19^2*(AY19-SIN(AY19))/8))^(1/MAX((AY19*(1-COS(AY19))/(AY19-SIN(AY19))),0.25)))))</f>
      </c>
      <c r="BB19" s="14">
        <f>IF(OR(PWWF_L_s&lt;=0,'Grade Calculator'!$R19&lt;=0),0,(PWWF_L_s/1000)*n_Manning/SQRT('Grade Calculator'!$R19/100))</f>
      </c>
      <c r="BC19" s="14">
        <f>IF($BB19&lt;=0,0,MIN(2*PI()-0.000001,MAX(0.000001,($BB19*399.376094/$B19^2.666666667)^(1/4.333333333))))</f>
      </c>
      <c r="BD19" s="14">
        <f>IF($BB19&lt;=0,0,MIN(2*PI()-0.000001,MAX(0.000001,BC19*($BB19/(($B19^2*(BC19-SIN(BC19))/8)*(($B19/4)*(1-SIN(BC19)/BC19))^0.6666666667))^(1/MAX(((BC19*(1-COS(BC19))+0.6666666667*(SIN(BC19)-BC19*COS(BC19)))/(BC19-SIN(BC19))),0.25)))))</f>
      </c>
      <c r="BE19" s="14">
        <f>IF($BB19&lt;=0,0,MIN(2*PI()-0.000001,MAX(0.000001,BD19*($BB19/(($B19^2*(BD19-SIN(BD19))/8)*(($B19/4)*(1-SIN(BD19)/BD19))^0.6666666667))^(1/MAX(((BD19*(1-COS(BD19))+0.6666666667*(SIN(BD19)-BD19*COS(BD19)))/(BD19-SIN(BD19))),0.25)))))</f>
      </c>
      <c r="BF19" s="14">
        <f>IF($BB19&lt;=0,0,MIN(2*PI()-0.000001,MAX(0.000001,BE19*($BB19/(($B19^2*(BE19-SIN(BE19))/8)*(($B19/4)*(1-SIN(BE19)/BE19))^0.6666666667))^(1/MAX(((BE19*(1-COS(BE19))+0.6666666667*(SIN(BE19)-BE19*COS(BE19)))/(BE19-SIN(BE19))),0.25)))))</f>
      </c>
      <c r="BG19" s="14">
        <f>IF($BB19&lt;=0,0,MIN(2*PI()-0.000001,MAX(0.000001,BF19*($BB19/(($B19^2*(BF19-SIN(BF19))/8)*(($B19/4)*(1-SIN(BF19)/BF19))^0.6666666667))^(1/MAX(((BF19*(1-COS(BF19))+0.6666666667*(SIN(BF19)-BF19*COS(BF19)))/(BF19-SIN(BF19))),0.25)))))</f>
      </c>
      <c r="BH19" s="14">
        <f>IF($BB19&lt;=0,0,MIN(2*PI()-0.000001,MAX(0.000001,BG19*($BB19/(($B19^2*(BG19-SIN(BG19))/8)*(($B19/4)*(1-SIN(BG19)/BG19))^0.6666666667))^(1/MAX(((BG19*(1-COS(BG19))+0.6666666667*(SIN(BG19)-BG19*COS(BG19)))/(BG19-SIN(BG19))),0.25)))))</f>
      </c>
      <c r="BI19" s="14">
        <f>IF($BB19&lt;=0,0,MIN(2*PI()-0.000001,MAX(0.000001,BH19*($BB19/(($B19^2*(BH19-SIN(BH19))/8)*(($B19/4)*(1-SIN(BH19)/BH19))^0.6666666667))^(1/MAX(((BH19*(1-COS(BH19))+0.6666666667*(SIN(BH19)-BH19*COS(BH19)))/(BH19-SIN(BH19))),0.25)))))</f>
      </c>
      <c r="BJ19" s="14">
        <f>IF($BB19&lt;=0,0,MIN(2*PI()-0.000001,MAX(0.000001,BI19*($BB19/(($B19^2*(BI19-SIN(BI19))/8)*(($B19/4)*(1-SIN(BI19)/BI19))^0.6666666667))^(1/MAX(((BI19*(1-COS(BI19))+0.6666666667*(SIN(BI19)-BI19*COS(BI19)))/(BI19-SIN(BI19))),0.25)))))</f>
      </c>
      <c r="BK19" s="14">
        <f>IF($BB19&lt;=0,0,MIN(2*PI()-0.000001,MAX(0.000001,BJ19*($BB19/(($B19^2*(BJ19-SIN(BJ19))/8)*(($B19/4)*(1-SIN(BJ19)/BJ19))^0.6666666667))^(1/MAX(((BJ19*(1-COS(BJ19))+0.6666666667*(SIN(BJ19)-BJ19*COS(BJ19)))/(BJ19-SIN(BJ19))),0.25)))))</f>
      </c>
      <c r="BL19" s="14">
        <f>IF($BB19&lt;=0,0,MIN(2*PI()-0.000001,MAX(0.000001,BK19*($BB19/(($B19^2*(BK19-SIN(BK19))/8)*(($B19/4)*(1-SIN(BK19)/BK19))^0.6666666667))^(1/MAX(((BK19*(1-COS(BK19))+0.6666666667*(SIN(BK19)-BK19*COS(BK19)))/(BK19-SIN(BK19))),0.25)))))</f>
      </c>
      <c r="BM19" s="14">
        <f>IF($BB19&lt;=0,0,MIN(2*PI()-0.000001,MAX(0.000001,BL19*($BB19/(($B19^2*(BL19-SIN(BL19))/8)*(($B19/4)*(1-SIN(BL19)/BL19))^0.6666666667))^(1/MAX(((BL19*(1-COS(BL19))+0.6666666667*(SIN(BL19)-BL19*COS(BL19)))/(BL19-SIN(BL19))),0.25)))))</f>
      </c>
      <c r="BN19" s="14">
        <f>IF($BB19&lt;=0,0,MIN(2*PI()-0.000001,MAX(0.000001,BM19*($BB19/(($B19^2*(BM19-SIN(BM19))/8)*(($B19/4)*(1-SIN(BM19)/BM19))^0.6666666667))^(1/MAX(((BM19*(1-COS(BM19))+0.6666666667*(SIN(BM19)-BM19*COS(BM19)))/(BM19-SIN(BM19))),0.25)))))</f>
      </c>
      <c r="BO19" s="14">
        <f>IF($BB19&lt;=0,0,MIN(2*PI()-0.000001,MAX(0.000001,BN19*($BB19/(($B19^2*(BN19-SIN(BN19))/8)*(($B19/4)*(1-SIN(BN19)/BN19))^0.6666666667))^(1/MAX(((BN19*(1-COS(BN19))+0.6666666667*(SIN(BN19)-BN19*COS(BN19)))/(BN19-SIN(BN19))),0.25)))))</f>
      </c>
      <c r="BP19" s="14">
        <f>IF($BB19&lt;=0,0,MIN(2*PI()-0.000001,MAX(0.000001,BO19*($BB19/(($B19^2*(BO19-SIN(BO19))/8)*(($B19/4)*(1-SIN(BO19)/BO19))^0.6666666667))^(1/MAX(((BO19*(1-COS(BO19))+0.6666666667*(SIN(BO19)-BO19*COS(BO19)))/(BO19-SIN(BO19))),0.25)))))</f>
      </c>
      <c r="BQ19" s="14">
        <f>IF($BB19&lt;=0,0,MIN(2*PI()-0.000001,MAX(0.000001,BP19*($BB19/(($B19^2*(BP19-SIN(BP19))/8)*(($B19/4)*(1-SIN(BP19)/BP19))^0.6666666667))^(1/MAX(((BP19*(1-COS(BP19))+0.6666666667*(SIN(BP19)-BP19*COS(BP19)))/(BP19-SIN(BP19))),0.25)))))</f>
      </c>
    </row>
    <row r="20">
      <c r="A20" s="18">
        <f>'Grade Calculator'!$A20</f>
      </c>
      <c r="B20" s="14">
        <f>'Grade Calculator'!$B20</f>
      </c>
      <c r="C20" s="14">
        <f>IF('Grade Calculator'!$C20&lt;=0,0,('Grade Calculator'!$C20/1000)*n_Manning/SQRT(K_sss/100))</f>
      </c>
      <c r="D20" s="14">
        <f>IF($C20&lt;=0,0,MIN(2*PI()-0.000001,MAX(0.000001,($C20*81.52230382/$B20^2.166666667)^(1/3.333333333))))</f>
      </c>
      <c r="E20" s="14">
        <f>IF($C20&lt;=0,0,MIN(2*PI()-0.000001,MAX(0.000001,D20*($C20/(($B20^2*(D20-SIN(D20))/8)*(($B20/4)*(1-SIN(D20)/D20))^0.1666666667))^(1/MAX(((D20*(1-COS(D20))+0.1666666667*(SIN(D20)-D20*COS(D20)))/(D20-SIN(D20))),0.25)))))</f>
      </c>
      <c r="F20" s="14">
        <f>IF($C20&lt;=0,0,MIN(2*PI()-0.000001,MAX(0.000001,E20*($C20/(($B20^2*(E20-SIN(E20))/8)*(($B20/4)*(1-SIN(E20)/E20))^0.1666666667))^(1/MAX(((E20*(1-COS(E20))+0.1666666667*(SIN(E20)-E20*COS(E20)))/(E20-SIN(E20))),0.25)))))</f>
      </c>
      <c r="G20" s="14">
        <f>IF($C20&lt;=0,0,MIN(2*PI()-0.000001,MAX(0.000001,F20*($C20/(($B20^2*(F20-SIN(F20))/8)*(($B20/4)*(1-SIN(F20)/F20))^0.1666666667))^(1/MAX(((F20*(1-COS(F20))+0.1666666667*(SIN(F20)-F20*COS(F20)))/(F20-SIN(F20))),0.25)))))</f>
      </c>
      <c r="H20" s="14">
        <f>IF($C20&lt;=0,0,MIN(2*PI()-0.000001,MAX(0.000001,G20*($C20/(($B20^2*(G20-SIN(G20))/8)*(($B20/4)*(1-SIN(G20)/G20))^0.1666666667))^(1/MAX(((G20*(1-COS(G20))+0.1666666667*(SIN(G20)-G20*COS(G20)))/(G20-SIN(G20))),0.25)))))</f>
      </c>
      <c r="I20" s="14">
        <f>IF($C20&lt;=0,0,MIN(2*PI()-0.000001,MAX(0.000001,H20*($C20/(($B20^2*(H20-SIN(H20))/8)*(($B20/4)*(1-SIN(H20)/H20))^0.1666666667))^(1/MAX(((H20*(1-COS(H20))+0.1666666667*(SIN(H20)-H20*COS(H20)))/(H20-SIN(H20))),0.25)))))</f>
      </c>
      <c r="J20" s="14">
        <f>IF($C20&lt;=0,0,MIN(2*PI()-0.000001,MAX(0.000001,I20*($C20/(($B20^2*(I20-SIN(I20))/8)*(($B20/4)*(1-SIN(I20)/I20))^0.1666666667))^(1/MAX(((I20*(1-COS(I20))+0.1666666667*(SIN(I20)-I20*COS(I20)))/(I20-SIN(I20))),0.25)))))</f>
      </c>
      <c r="K20" s="14">
        <f>IF($C20&lt;=0,0,MIN(2*PI()-0.000001,MAX(0.000001,J20*($C20/(($B20^2*(J20-SIN(J20))/8)*(($B20/4)*(1-SIN(J20)/J20))^0.1666666667))^(1/MAX(((J20*(1-COS(J20))+0.1666666667*(SIN(J20)-J20*COS(J20)))/(J20-SIN(J20))),0.25)))))</f>
      </c>
      <c r="L20" s="14">
        <f>IF($C20&lt;=0,0,MIN(2*PI()-0.000001,MAX(0.000001,K20*($C20/(($B20^2*(K20-SIN(K20))/8)*(($B20/4)*(1-SIN(K20)/K20))^0.1666666667))^(1/MAX(((K20*(1-COS(K20))+0.1666666667*(SIN(K20)-K20*COS(K20)))/(K20-SIN(K20))),0.25)))))</f>
      </c>
      <c r="M20" s="14">
        <f>IF($C20&lt;=0,0,MIN(2*PI()-0.000001,MAX(0.000001,L20*($C20/(($B20^2*(L20-SIN(L20))/8)*(($B20/4)*(1-SIN(L20)/L20))^0.1666666667))^(1/MAX(((L20*(1-COS(L20))+0.1666666667*(SIN(L20)-L20*COS(L20)))/(L20-SIN(L20))),0.25)))))</f>
      </c>
      <c r="N20" s="14">
        <f>IF($C20&lt;=0,0,MIN(2*PI()-0.000001,MAX(0.000001,M20*($C20/(($B20^2*(M20-SIN(M20))/8)*(($B20/4)*(1-SIN(M20)/M20))^0.1666666667))^(1/MAX(((M20*(1-COS(M20))+0.1666666667*(SIN(M20)-M20*COS(M20)))/(M20-SIN(M20))),0.25)))))</f>
      </c>
      <c r="O20" s="14">
        <f>IF($C20&lt;=0,0,MIN(2*PI()-0.000001,MAX(0.000001,N20*($C20/(($B20^2*(N20-SIN(N20))/8)*(($B20/4)*(1-SIN(N20)/N20))^0.1666666667))^(1/MAX(((N20*(1-COS(N20))+0.1666666667*(SIN(N20)-N20*COS(N20)))/(N20-SIN(N20))),0.25)))))</f>
      </c>
      <c r="P20" s="14">
        <f>IF($C20&lt;=0,0,MIN(2*PI()-0.000001,MAX(0.000001,O20*($C20/(($B20^2*(O20-SIN(O20))/8)*(($B20/4)*(1-SIN(O20)/O20))^0.1666666667))^(1/MAX(((O20*(1-COS(O20))+0.1666666667*(SIN(O20)-O20*COS(O20)))/(O20-SIN(O20))),0.25)))))</f>
      </c>
      <c r="Q20" s="14">
        <f>IF($C20&lt;=0,0,MIN(2*PI()-0.000001,MAX(0.000001,P20*($C20/(($B20^2*(P20-SIN(P20))/8)*(($B20/4)*(1-SIN(P20)/P20))^0.1666666667))^(1/MAX(((P20*(1-COS(P20))+0.1666666667*(SIN(P20)-P20*COS(P20)))/(P20-SIN(P20))),0.25)))))</f>
      </c>
      <c r="R20" s="14">
        <f>IF($C20&lt;=0,0,MIN(2*PI()-0.000001,MAX(0.000001,Q20*($C20/(($B20^2*(Q20-SIN(Q20))/8)*(($B20/4)*(1-SIN(Q20)/Q20))^0.1666666667))^(1/MAX(((Q20*(1-COS(Q20))+0.1666666667*(SIN(Q20)-Q20*COS(Q20)))/(Q20-SIN(Q20))),0.25)))))</f>
      </c>
      <c r="T20" s="14">
        <f>IF('Grade Calculator'!$K20&lt;=0,0,('Grade Calculator'!$K20/1000)*n_Manning/SQRT(K_sc/100))</f>
      </c>
      <c r="U20" s="14">
        <f>IF($T20&lt;=0,0,MIN(2*PI()-0.000001,MAX(0.000001,($T20*81.52230382/$B20^2.166666667)^(1/3.333333333))))</f>
      </c>
      <c r="V20" s="14">
        <f>IF($T20&lt;=0,0,MIN(2*PI()-0.000001,MAX(0.000001,U20*($T20/(($B20^2*(U20-SIN(U20))/8)*(($B20/4)*(1-SIN(U20)/U20))^0.1666666667))^(1/MAX(((U20*(1-COS(U20))+0.1666666667*(SIN(U20)-U20*COS(U20)))/(U20-SIN(U20))),0.25)))))</f>
      </c>
      <c r="W20" s="14">
        <f>IF($T20&lt;=0,0,MIN(2*PI()-0.000001,MAX(0.000001,V20*($T20/(($B20^2*(V20-SIN(V20))/8)*(($B20/4)*(1-SIN(V20)/V20))^0.1666666667))^(1/MAX(((V20*(1-COS(V20))+0.1666666667*(SIN(V20)-V20*COS(V20)))/(V20-SIN(V20))),0.25)))))</f>
      </c>
      <c r="X20" s="14">
        <f>IF($T20&lt;=0,0,MIN(2*PI()-0.000001,MAX(0.000001,W20*($T20/(($B20^2*(W20-SIN(W20))/8)*(($B20/4)*(1-SIN(W20)/W20))^0.1666666667))^(1/MAX(((W20*(1-COS(W20))+0.1666666667*(SIN(W20)-W20*COS(W20)))/(W20-SIN(W20))),0.25)))))</f>
      </c>
      <c r="Y20" s="14">
        <f>IF($T20&lt;=0,0,MIN(2*PI()-0.000001,MAX(0.000001,X20*($T20/(($B20^2*(X20-SIN(X20))/8)*(($B20/4)*(1-SIN(X20)/X20))^0.1666666667))^(1/MAX(((X20*(1-COS(X20))+0.1666666667*(SIN(X20)-X20*COS(X20)))/(X20-SIN(X20))),0.25)))))</f>
      </c>
      <c r="Z20" s="14">
        <f>IF($T20&lt;=0,0,MIN(2*PI()-0.000001,MAX(0.000001,Y20*($T20/(($B20^2*(Y20-SIN(Y20))/8)*(($B20/4)*(1-SIN(Y20)/Y20))^0.1666666667))^(1/MAX(((Y20*(1-COS(Y20))+0.1666666667*(SIN(Y20)-Y20*COS(Y20)))/(Y20-SIN(Y20))),0.25)))))</f>
      </c>
      <c r="AA20" s="14">
        <f>IF($T20&lt;=0,0,MIN(2*PI()-0.000001,MAX(0.000001,Z20*($T20/(($B20^2*(Z20-SIN(Z20))/8)*(($B20/4)*(1-SIN(Z20)/Z20))^0.1666666667))^(1/MAX(((Z20*(1-COS(Z20))+0.1666666667*(SIN(Z20)-Z20*COS(Z20)))/(Z20-SIN(Z20))),0.25)))))</f>
      </c>
      <c r="AB20" s="14">
        <f>IF($T20&lt;=0,0,MIN(2*PI()-0.000001,MAX(0.000001,AA20*($T20/(($B20^2*(AA20-SIN(AA20))/8)*(($B20/4)*(1-SIN(AA20)/AA20))^0.1666666667))^(1/MAX(((AA20*(1-COS(AA20))+0.1666666667*(SIN(AA20)-AA20*COS(AA20)))/(AA20-SIN(AA20))),0.25)))))</f>
      </c>
      <c r="AC20" s="14">
        <f>IF($T20&lt;=0,0,MIN(2*PI()-0.000001,MAX(0.000001,AB20*($T20/(($B20^2*(AB20-SIN(AB20))/8)*(($B20/4)*(1-SIN(AB20)/AB20))^0.1666666667))^(1/MAX(((AB20*(1-COS(AB20))+0.1666666667*(SIN(AB20)-AB20*COS(AB20)))/(AB20-SIN(AB20))),0.25)))))</f>
      </c>
      <c r="AD20" s="14">
        <f>IF($T20&lt;=0,0,MIN(2*PI()-0.000001,MAX(0.000001,AC20*($T20/(($B20^2*(AC20-SIN(AC20))/8)*(($B20/4)*(1-SIN(AC20)/AC20))^0.1666666667))^(1/MAX(((AC20*(1-COS(AC20))+0.1666666667*(SIN(AC20)-AC20*COS(AC20)))/(AC20-SIN(AC20))),0.25)))))</f>
      </c>
      <c r="AE20" s="14">
        <f>IF($T20&lt;=0,0,MIN(2*PI()-0.000001,MAX(0.000001,AD20*($T20/(($B20^2*(AD20-SIN(AD20))/8)*(($B20/4)*(1-SIN(AD20)/AD20))^0.1666666667))^(1/MAX(((AD20*(1-COS(AD20))+0.1666666667*(SIN(AD20)-AD20*COS(AD20)))/(AD20-SIN(AD20))),0.25)))))</f>
      </c>
      <c r="AF20" s="14">
        <f>IF($T20&lt;=0,0,MIN(2*PI()-0.000001,MAX(0.000001,AE20*($T20/(($B20^2*(AE20-SIN(AE20))/8)*(($B20/4)*(1-SIN(AE20)/AE20))^0.1666666667))^(1/MAX(((AE20*(1-COS(AE20))+0.1666666667*(SIN(AE20)-AE20*COS(AE20)))/(AE20-SIN(AE20))),0.25)))))</f>
      </c>
      <c r="AG20" s="14">
        <f>IF($T20&lt;=0,0,MIN(2*PI()-0.000001,MAX(0.000001,AF20*($T20/(($B20^2*(AF20-SIN(AF20))/8)*(($B20/4)*(1-SIN(AF20)/AF20))^0.1666666667))^(1/MAX(((AF20*(1-COS(AF20))+0.1666666667*(SIN(AF20)-AF20*COS(AF20)))/(AF20-SIN(AF20))),0.25)))))</f>
      </c>
      <c r="AH20" s="14">
        <f>IF($T20&lt;=0,0,MIN(2*PI()-0.000001,MAX(0.000001,AG20*($T20/(($B20^2*(AG20-SIN(AG20))/8)*(($B20/4)*(1-SIN(AG20)/AG20))^0.1666666667))^(1/MAX(((AG20*(1-COS(AG20))+0.1666666667*(SIN(AG20)-AG20*COS(AG20)))/(AG20-SIN(AG20))),0.25)))))</f>
      </c>
      <c r="AI20" s="14">
        <f>IF($T20&lt;=0,0,MIN(2*PI()-0.000001,MAX(0.000001,AH20*($T20/(($B20^2*(AH20-SIN(AH20))/8)*(($B20/4)*(1-SIN(AH20)/AH20))^0.1666666667))^(1/MAX(((AH20*(1-COS(AH20))+0.1666666667*(SIN(AH20)-AH20*COS(AH20)))/(AH20-SIN(AH20))),0.25)))))</f>
      </c>
      <c r="AK20" s="14">
        <f>IF(PDWF_L_s&lt;=0,0,(PDWF_L_s/1000)/V_max)</f>
      </c>
      <c r="AL20" s="14">
        <f>IF($AK20&lt;=0,0,MIN(2*PI()-0.000001,MAX(0.000001,($AK20*48/$B20^2)^(1/3))))</f>
      </c>
      <c r="AM20" s="14">
        <f>IF($AK20&lt;=0,0,MIN(2*PI()-0.000001,MAX(0.000001,AL20*($AK20/($B20^2*(AL20-SIN(AL20))/8))^(1/MAX((AL20*(1-COS(AL20))/(AL20-SIN(AL20))),0.25)))))</f>
      </c>
      <c r="AN20" s="14">
        <f>IF($AK20&lt;=0,0,MIN(2*PI()-0.000001,MAX(0.000001,AM20*($AK20/($B20^2*(AM20-SIN(AM20))/8))^(1/MAX((AM20*(1-COS(AM20))/(AM20-SIN(AM20))),0.25)))))</f>
      </c>
      <c r="AO20" s="14">
        <f>IF($AK20&lt;=0,0,MIN(2*PI()-0.000001,MAX(0.000001,AN20*($AK20/($B20^2*(AN20-SIN(AN20))/8))^(1/MAX((AN20*(1-COS(AN20))/(AN20-SIN(AN20))),0.25)))))</f>
      </c>
      <c r="AP20" s="14">
        <f>IF($AK20&lt;=0,0,MIN(2*PI()-0.000001,MAX(0.000001,AO20*($AK20/($B20^2*(AO20-SIN(AO20))/8))^(1/MAX((AO20*(1-COS(AO20))/(AO20-SIN(AO20))),0.25)))))</f>
      </c>
      <c r="AQ20" s="14">
        <f>IF($AK20&lt;=0,0,MIN(2*PI()-0.000001,MAX(0.000001,AP20*($AK20/($B20^2*(AP20-SIN(AP20))/8))^(1/MAX((AP20*(1-COS(AP20))/(AP20-SIN(AP20))),0.25)))))</f>
      </c>
      <c r="AR20" s="14">
        <f>IF($AK20&lt;=0,0,MIN(2*PI()-0.000001,MAX(0.000001,AQ20*($AK20/($B20^2*(AQ20-SIN(AQ20))/8))^(1/MAX((AQ20*(1-COS(AQ20))/(AQ20-SIN(AQ20))),0.25)))))</f>
      </c>
      <c r="AS20" s="14">
        <f>IF($AK20&lt;=0,0,MIN(2*PI()-0.000001,MAX(0.000001,AR20*($AK20/($B20^2*(AR20-SIN(AR20))/8))^(1/MAX((AR20*(1-COS(AR20))/(AR20-SIN(AR20))),0.25)))))</f>
      </c>
      <c r="AT20" s="14">
        <f>IF($AK20&lt;=0,0,MIN(2*PI()-0.000001,MAX(0.000001,AS20*($AK20/($B20^2*(AS20-SIN(AS20))/8))^(1/MAX((AS20*(1-COS(AS20))/(AS20-SIN(AS20))),0.25)))))</f>
      </c>
      <c r="AU20" s="14">
        <f>IF($AK20&lt;=0,0,MIN(2*PI()-0.000001,MAX(0.000001,AT20*($AK20/($B20^2*(AT20-SIN(AT20))/8))^(1/MAX((AT20*(1-COS(AT20))/(AT20-SIN(AT20))),0.25)))))</f>
      </c>
      <c r="AV20" s="14">
        <f>IF($AK20&lt;=0,0,MIN(2*PI()-0.000001,MAX(0.000001,AU20*($AK20/($B20^2*(AU20-SIN(AU20))/8))^(1/MAX((AU20*(1-COS(AU20))/(AU20-SIN(AU20))),0.25)))))</f>
      </c>
      <c r="AW20" s="14">
        <f>IF($AK20&lt;=0,0,MIN(2*PI()-0.000001,MAX(0.000001,AV20*($AK20/($B20^2*(AV20-SIN(AV20))/8))^(1/MAX((AV20*(1-COS(AV20))/(AV20-SIN(AV20))),0.25)))))</f>
      </c>
      <c r="AX20" s="14">
        <f>IF($AK20&lt;=0,0,MIN(2*PI()-0.000001,MAX(0.000001,AW20*($AK20/($B20^2*(AW20-SIN(AW20))/8))^(1/MAX((AW20*(1-COS(AW20))/(AW20-SIN(AW20))),0.25)))))</f>
      </c>
      <c r="AY20" s="14">
        <f>IF($AK20&lt;=0,0,MIN(2*PI()-0.000001,MAX(0.000001,AX20*($AK20/($B20^2*(AX20-SIN(AX20))/8))^(1/MAX((AX20*(1-COS(AX20))/(AX20-SIN(AX20))),0.25)))))</f>
      </c>
      <c r="AZ20" s="14">
        <f>IF($AK20&lt;=0,0,MIN(2*PI()-0.000001,MAX(0.000001,AY20*($AK20/($B20^2*(AY20-SIN(AY20))/8))^(1/MAX((AY20*(1-COS(AY20))/(AY20-SIN(AY20))),0.25)))))</f>
      </c>
      <c r="BB20" s="14">
        <f>IF(OR(PWWF_L_s&lt;=0,'Grade Calculator'!$R20&lt;=0),0,(PWWF_L_s/1000)*n_Manning/SQRT('Grade Calculator'!$R20/100))</f>
      </c>
      <c r="BC20" s="14">
        <f>IF($BB20&lt;=0,0,MIN(2*PI()-0.000001,MAX(0.000001,($BB20*399.376094/$B20^2.666666667)^(1/4.333333333))))</f>
      </c>
      <c r="BD20" s="14">
        <f>IF($BB20&lt;=0,0,MIN(2*PI()-0.000001,MAX(0.000001,BC20*($BB20/(($B20^2*(BC20-SIN(BC20))/8)*(($B20/4)*(1-SIN(BC20)/BC20))^0.6666666667))^(1/MAX(((BC20*(1-COS(BC20))+0.6666666667*(SIN(BC20)-BC20*COS(BC20)))/(BC20-SIN(BC20))),0.25)))))</f>
      </c>
      <c r="BE20" s="14">
        <f>IF($BB20&lt;=0,0,MIN(2*PI()-0.000001,MAX(0.000001,BD20*($BB20/(($B20^2*(BD20-SIN(BD20))/8)*(($B20/4)*(1-SIN(BD20)/BD20))^0.6666666667))^(1/MAX(((BD20*(1-COS(BD20))+0.6666666667*(SIN(BD20)-BD20*COS(BD20)))/(BD20-SIN(BD20))),0.25)))))</f>
      </c>
      <c r="BF20" s="14">
        <f>IF($BB20&lt;=0,0,MIN(2*PI()-0.000001,MAX(0.000001,BE20*($BB20/(($B20^2*(BE20-SIN(BE20))/8)*(($B20/4)*(1-SIN(BE20)/BE20))^0.6666666667))^(1/MAX(((BE20*(1-COS(BE20))+0.6666666667*(SIN(BE20)-BE20*COS(BE20)))/(BE20-SIN(BE20))),0.25)))))</f>
      </c>
      <c r="BG20" s="14">
        <f>IF($BB20&lt;=0,0,MIN(2*PI()-0.000001,MAX(0.000001,BF20*($BB20/(($B20^2*(BF20-SIN(BF20))/8)*(($B20/4)*(1-SIN(BF20)/BF20))^0.6666666667))^(1/MAX(((BF20*(1-COS(BF20))+0.6666666667*(SIN(BF20)-BF20*COS(BF20)))/(BF20-SIN(BF20))),0.25)))))</f>
      </c>
      <c r="BH20" s="14">
        <f>IF($BB20&lt;=0,0,MIN(2*PI()-0.000001,MAX(0.000001,BG20*($BB20/(($B20^2*(BG20-SIN(BG20))/8)*(($B20/4)*(1-SIN(BG20)/BG20))^0.6666666667))^(1/MAX(((BG20*(1-COS(BG20))+0.6666666667*(SIN(BG20)-BG20*COS(BG20)))/(BG20-SIN(BG20))),0.25)))))</f>
      </c>
      <c r="BI20" s="14">
        <f>IF($BB20&lt;=0,0,MIN(2*PI()-0.000001,MAX(0.000001,BH20*($BB20/(($B20^2*(BH20-SIN(BH20))/8)*(($B20/4)*(1-SIN(BH20)/BH20))^0.6666666667))^(1/MAX(((BH20*(1-COS(BH20))+0.6666666667*(SIN(BH20)-BH20*COS(BH20)))/(BH20-SIN(BH20))),0.25)))))</f>
      </c>
      <c r="BJ20" s="14">
        <f>IF($BB20&lt;=0,0,MIN(2*PI()-0.000001,MAX(0.000001,BI20*($BB20/(($B20^2*(BI20-SIN(BI20))/8)*(($B20/4)*(1-SIN(BI20)/BI20))^0.6666666667))^(1/MAX(((BI20*(1-COS(BI20))+0.6666666667*(SIN(BI20)-BI20*COS(BI20)))/(BI20-SIN(BI20))),0.25)))))</f>
      </c>
      <c r="BK20" s="14">
        <f>IF($BB20&lt;=0,0,MIN(2*PI()-0.000001,MAX(0.000001,BJ20*($BB20/(($B20^2*(BJ20-SIN(BJ20))/8)*(($B20/4)*(1-SIN(BJ20)/BJ20))^0.6666666667))^(1/MAX(((BJ20*(1-COS(BJ20))+0.6666666667*(SIN(BJ20)-BJ20*COS(BJ20)))/(BJ20-SIN(BJ20))),0.25)))))</f>
      </c>
      <c r="BL20" s="14">
        <f>IF($BB20&lt;=0,0,MIN(2*PI()-0.000001,MAX(0.000001,BK20*($BB20/(($B20^2*(BK20-SIN(BK20))/8)*(($B20/4)*(1-SIN(BK20)/BK20))^0.6666666667))^(1/MAX(((BK20*(1-COS(BK20))+0.6666666667*(SIN(BK20)-BK20*COS(BK20)))/(BK20-SIN(BK20))),0.25)))))</f>
      </c>
      <c r="BM20" s="14">
        <f>IF($BB20&lt;=0,0,MIN(2*PI()-0.000001,MAX(0.000001,BL20*($BB20/(($B20^2*(BL20-SIN(BL20))/8)*(($B20/4)*(1-SIN(BL20)/BL20))^0.6666666667))^(1/MAX(((BL20*(1-COS(BL20))+0.6666666667*(SIN(BL20)-BL20*COS(BL20)))/(BL20-SIN(BL20))),0.25)))))</f>
      </c>
      <c r="BN20" s="14">
        <f>IF($BB20&lt;=0,0,MIN(2*PI()-0.000001,MAX(0.000001,BM20*($BB20/(($B20^2*(BM20-SIN(BM20))/8)*(($B20/4)*(1-SIN(BM20)/BM20))^0.6666666667))^(1/MAX(((BM20*(1-COS(BM20))+0.6666666667*(SIN(BM20)-BM20*COS(BM20)))/(BM20-SIN(BM20))),0.25)))))</f>
      </c>
      <c r="BO20" s="14">
        <f>IF($BB20&lt;=0,0,MIN(2*PI()-0.000001,MAX(0.000001,BN20*($BB20/(($B20^2*(BN20-SIN(BN20))/8)*(($B20/4)*(1-SIN(BN20)/BN20))^0.6666666667))^(1/MAX(((BN20*(1-COS(BN20))+0.6666666667*(SIN(BN20)-BN20*COS(BN20)))/(BN20-SIN(BN20))),0.25)))))</f>
      </c>
      <c r="BP20" s="14">
        <f>IF($BB20&lt;=0,0,MIN(2*PI()-0.000001,MAX(0.000001,BO20*($BB20/(($B20^2*(BO20-SIN(BO20))/8)*(($B20/4)*(1-SIN(BO20)/BO20))^0.6666666667))^(1/MAX(((BO20*(1-COS(BO20))+0.6666666667*(SIN(BO20)-BO20*COS(BO20)))/(BO20-SIN(BO20))),0.25)))))</f>
      </c>
      <c r="BQ20" s="14">
        <f>IF($BB20&lt;=0,0,MIN(2*PI()-0.000001,MAX(0.000001,BP20*($BB20/(($B20^2*(BP20-SIN(BP20))/8)*(($B20/4)*(1-SIN(BP20)/BP20))^0.6666666667))^(1/MAX(((BP20*(1-COS(BP20))+0.6666666667*(SIN(BP20)-BP20*COS(BP20)))/(BP20-SIN(BP20))),0.25)))))</f>
      </c>
    </row>
    <row r="21">
      <c r="A21" s="18">
        <f>'Grade Calculator'!$A21</f>
      </c>
      <c r="B21" s="14">
        <f>'Grade Calculator'!$B21</f>
      </c>
      <c r="C21" s="14">
        <f>IF('Grade Calculator'!$C21&lt;=0,0,('Grade Calculator'!$C21/1000)*n_Manning/SQRT(K_sss/100))</f>
      </c>
      <c r="D21" s="14">
        <f>IF($C21&lt;=0,0,MIN(2*PI()-0.000001,MAX(0.000001,($C21*81.52230382/$B21^2.166666667)^(1/3.333333333))))</f>
      </c>
      <c r="E21" s="14">
        <f>IF($C21&lt;=0,0,MIN(2*PI()-0.000001,MAX(0.000001,D21*($C21/(($B21^2*(D21-SIN(D21))/8)*(($B21/4)*(1-SIN(D21)/D21))^0.1666666667))^(1/MAX(((D21*(1-COS(D21))+0.1666666667*(SIN(D21)-D21*COS(D21)))/(D21-SIN(D21))),0.25)))))</f>
      </c>
      <c r="F21" s="14">
        <f>IF($C21&lt;=0,0,MIN(2*PI()-0.000001,MAX(0.000001,E21*($C21/(($B21^2*(E21-SIN(E21))/8)*(($B21/4)*(1-SIN(E21)/E21))^0.1666666667))^(1/MAX(((E21*(1-COS(E21))+0.1666666667*(SIN(E21)-E21*COS(E21)))/(E21-SIN(E21))),0.25)))))</f>
      </c>
      <c r="G21" s="14">
        <f>IF($C21&lt;=0,0,MIN(2*PI()-0.000001,MAX(0.000001,F21*($C21/(($B21^2*(F21-SIN(F21))/8)*(($B21/4)*(1-SIN(F21)/F21))^0.1666666667))^(1/MAX(((F21*(1-COS(F21))+0.1666666667*(SIN(F21)-F21*COS(F21)))/(F21-SIN(F21))),0.25)))))</f>
      </c>
      <c r="H21" s="14">
        <f>IF($C21&lt;=0,0,MIN(2*PI()-0.000001,MAX(0.000001,G21*($C21/(($B21^2*(G21-SIN(G21))/8)*(($B21/4)*(1-SIN(G21)/G21))^0.1666666667))^(1/MAX(((G21*(1-COS(G21))+0.1666666667*(SIN(G21)-G21*COS(G21)))/(G21-SIN(G21))),0.25)))))</f>
      </c>
      <c r="I21" s="14">
        <f>IF($C21&lt;=0,0,MIN(2*PI()-0.000001,MAX(0.000001,H21*($C21/(($B21^2*(H21-SIN(H21))/8)*(($B21/4)*(1-SIN(H21)/H21))^0.1666666667))^(1/MAX(((H21*(1-COS(H21))+0.1666666667*(SIN(H21)-H21*COS(H21)))/(H21-SIN(H21))),0.25)))))</f>
      </c>
      <c r="J21" s="14">
        <f>IF($C21&lt;=0,0,MIN(2*PI()-0.000001,MAX(0.000001,I21*($C21/(($B21^2*(I21-SIN(I21))/8)*(($B21/4)*(1-SIN(I21)/I21))^0.1666666667))^(1/MAX(((I21*(1-COS(I21))+0.1666666667*(SIN(I21)-I21*COS(I21)))/(I21-SIN(I21))),0.25)))))</f>
      </c>
      <c r="K21" s="14">
        <f>IF($C21&lt;=0,0,MIN(2*PI()-0.000001,MAX(0.000001,J21*($C21/(($B21^2*(J21-SIN(J21))/8)*(($B21/4)*(1-SIN(J21)/J21))^0.1666666667))^(1/MAX(((J21*(1-COS(J21))+0.1666666667*(SIN(J21)-J21*COS(J21)))/(J21-SIN(J21))),0.25)))))</f>
      </c>
      <c r="L21" s="14">
        <f>IF($C21&lt;=0,0,MIN(2*PI()-0.000001,MAX(0.000001,K21*($C21/(($B21^2*(K21-SIN(K21))/8)*(($B21/4)*(1-SIN(K21)/K21))^0.1666666667))^(1/MAX(((K21*(1-COS(K21))+0.1666666667*(SIN(K21)-K21*COS(K21)))/(K21-SIN(K21))),0.25)))))</f>
      </c>
      <c r="M21" s="14">
        <f>IF($C21&lt;=0,0,MIN(2*PI()-0.000001,MAX(0.000001,L21*($C21/(($B21^2*(L21-SIN(L21))/8)*(($B21/4)*(1-SIN(L21)/L21))^0.1666666667))^(1/MAX(((L21*(1-COS(L21))+0.1666666667*(SIN(L21)-L21*COS(L21)))/(L21-SIN(L21))),0.25)))))</f>
      </c>
      <c r="N21" s="14">
        <f>IF($C21&lt;=0,0,MIN(2*PI()-0.000001,MAX(0.000001,M21*($C21/(($B21^2*(M21-SIN(M21))/8)*(($B21/4)*(1-SIN(M21)/M21))^0.1666666667))^(1/MAX(((M21*(1-COS(M21))+0.1666666667*(SIN(M21)-M21*COS(M21)))/(M21-SIN(M21))),0.25)))))</f>
      </c>
      <c r="O21" s="14">
        <f>IF($C21&lt;=0,0,MIN(2*PI()-0.000001,MAX(0.000001,N21*($C21/(($B21^2*(N21-SIN(N21))/8)*(($B21/4)*(1-SIN(N21)/N21))^0.1666666667))^(1/MAX(((N21*(1-COS(N21))+0.1666666667*(SIN(N21)-N21*COS(N21)))/(N21-SIN(N21))),0.25)))))</f>
      </c>
      <c r="P21" s="14">
        <f>IF($C21&lt;=0,0,MIN(2*PI()-0.000001,MAX(0.000001,O21*($C21/(($B21^2*(O21-SIN(O21))/8)*(($B21/4)*(1-SIN(O21)/O21))^0.1666666667))^(1/MAX(((O21*(1-COS(O21))+0.1666666667*(SIN(O21)-O21*COS(O21)))/(O21-SIN(O21))),0.25)))))</f>
      </c>
      <c r="Q21" s="14">
        <f>IF($C21&lt;=0,0,MIN(2*PI()-0.000001,MAX(0.000001,P21*($C21/(($B21^2*(P21-SIN(P21))/8)*(($B21/4)*(1-SIN(P21)/P21))^0.1666666667))^(1/MAX(((P21*(1-COS(P21))+0.1666666667*(SIN(P21)-P21*COS(P21)))/(P21-SIN(P21))),0.25)))))</f>
      </c>
      <c r="R21" s="14">
        <f>IF($C21&lt;=0,0,MIN(2*PI()-0.000001,MAX(0.000001,Q21*($C21/(($B21^2*(Q21-SIN(Q21))/8)*(($B21/4)*(1-SIN(Q21)/Q21))^0.1666666667))^(1/MAX(((Q21*(1-COS(Q21))+0.1666666667*(SIN(Q21)-Q21*COS(Q21)))/(Q21-SIN(Q21))),0.25)))))</f>
      </c>
      <c r="T21" s="14">
        <f>IF('Grade Calculator'!$K21&lt;=0,0,('Grade Calculator'!$K21/1000)*n_Manning/SQRT(K_sc/100))</f>
      </c>
      <c r="U21" s="14">
        <f>IF($T21&lt;=0,0,MIN(2*PI()-0.000001,MAX(0.000001,($T21*81.52230382/$B21^2.166666667)^(1/3.333333333))))</f>
      </c>
      <c r="V21" s="14">
        <f>IF($T21&lt;=0,0,MIN(2*PI()-0.000001,MAX(0.000001,U21*($T21/(($B21^2*(U21-SIN(U21))/8)*(($B21/4)*(1-SIN(U21)/U21))^0.1666666667))^(1/MAX(((U21*(1-COS(U21))+0.1666666667*(SIN(U21)-U21*COS(U21)))/(U21-SIN(U21))),0.25)))))</f>
      </c>
      <c r="W21" s="14">
        <f>IF($T21&lt;=0,0,MIN(2*PI()-0.000001,MAX(0.000001,V21*($T21/(($B21^2*(V21-SIN(V21))/8)*(($B21/4)*(1-SIN(V21)/V21))^0.1666666667))^(1/MAX(((V21*(1-COS(V21))+0.1666666667*(SIN(V21)-V21*COS(V21)))/(V21-SIN(V21))),0.25)))))</f>
      </c>
      <c r="X21" s="14">
        <f>IF($T21&lt;=0,0,MIN(2*PI()-0.000001,MAX(0.000001,W21*($T21/(($B21^2*(W21-SIN(W21))/8)*(($B21/4)*(1-SIN(W21)/W21))^0.1666666667))^(1/MAX(((W21*(1-COS(W21))+0.1666666667*(SIN(W21)-W21*COS(W21)))/(W21-SIN(W21))),0.25)))))</f>
      </c>
      <c r="Y21" s="14">
        <f>IF($T21&lt;=0,0,MIN(2*PI()-0.000001,MAX(0.000001,X21*($T21/(($B21^2*(X21-SIN(X21))/8)*(($B21/4)*(1-SIN(X21)/X21))^0.1666666667))^(1/MAX(((X21*(1-COS(X21))+0.1666666667*(SIN(X21)-X21*COS(X21)))/(X21-SIN(X21))),0.25)))))</f>
      </c>
      <c r="Z21" s="14">
        <f>IF($T21&lt;=0,0,MIN(2*PI()-0.000001,MAX(0.000001,Y21*($T21/(($B21^2*(Y21-SIN(Y21))/8)*(($B21/4)*(1-SIN(Y21)/Y21))^0.1666666667))^(1/MAX(((Y21*(1-COS(Y21))+0.1666666667*(SIN(Y21)-Y21*COS(Y21)))/(Y21-SIN(Y21))),0.25)))))</f>
      </c>
      <c r="AA21" s="14">
        <f>IF($T21&lt;=0,0,MIN(2*PI()-0.000001,MAX(0.000001,Z21*($T21/(($B21^2*(Z21-SIN(Z21))/8)*(($B21/4)*(1-SIN(Z21)/Z21))^0.1666666667))^(1/MAX(((Z21*(1-COS(Z21))+0.1666666667*(SIN(Z21)-Z21*COS(Z21)))/(Z21-SIN(Z21))),0.25)))))</f>
      </c>
      <c r="AB21" s="14">
        <f>IF($T21&lt;=0,0,MIN(2*PI()-0.000001,MAX(0.000001,AA21*($T21/(($B21^2*(AA21-SIN(AA21))/8)*(($B21/4)*(1-SIN(AA21)/AA21))^0.1666666667))^(1/MAX(((AA21*(1-COS(AA21))+0.1666666667*(SIN(AA21)-AA21*COS(AA21)))/(AA21-SIN(AA21))),0.25)))))</f>
      </c>
      <c r="AC21" s="14">
        <f>IF($T21&lt;=0,0,MIN(2*PI()-0.000001,MAX(0.000001,AB21*($T21/(($B21^2*(AB21-SIN(AB21))/8)*(($B21/4)*(1-SIN(AB21)/AB21))^0.1666666667))^(1/MAX(((AB21*(1-COS(AB21))+0.1666666667*(SIN(AB21)-AB21*COS(AB21)))/(AB21-SIN(AB21))),0.25)))))</f>
      </c>
      <c r="AD21" s="14">
        <f>IF($T21&lt;=0,0,MIN(2*PI()-0.000001,MAX(0.000001,AC21*($T21/(($B21^2*(AC21-SIN(AC21))/8)*(($B21/4)*(1-SIN(AC21)/AC21))^0.1666666667))^(1/MAX(((AC21*(1-COS(AC21))+0.1666666667*(SIN(AC21)-AC21*COS(AC21)))/(AC21-SIN(AC21))),0.25)))))</f>
      </c>
      <c r="AE21" s="14">
        <f>IF($T21&lt;=0,0,MIN(2*PI()-0.000001,MAX(0.000001,AD21*($T21/(($B21^2*(AD21-SIN(AD21))/8)*(($B21/4)*(1-SIN(AD21)/AD21))^0.1666666667))^(1/MAX(((AD21*(1-COS(AD21))+0.1666666667*(SIN(AD21)-AD21*COS(AD21)))/(AD21-SIN(AD21))),0.25)))))</f>
      </c>
      <c r="AF21" s="14">
        <f>IF($T21&lt;=0,0,MIN(2*PI()-0.000001,MAX(0.000001,AE21*($T21/(($B21^2*(AE21-SIN(AE21))/8)*(($B21/4)*(1-SIN(AE21)/AE21))^0.1666666667))^(1/MAX(((AE21*(1-COS(AE21))+0.1666666667*(SIN(AE21)-AE21*COS(AE21)))/(AE21-SIN(AE21))),0.25)))))</f>
      </c>
      <c r="AG21" s="14">
        <f>IF($T21&lt;=0,0,MIN(2*PI()-0.000001,MAX(0.000001,AF21*($T21/(($B21^2*(AF21-SIN(AF21))/8)*(($B21/4)*(1-SIN(AF21)/AF21))^0.1666666667))^(1/MAX(((AF21*(1-COS(AF21))+0.1666666667*(SIN(AF21)-AF21*COS(AF21)))/(AF21-SIN(AF21))),0.25)))))</f>
      </c>
      <c r="AH21" s="14">
        <f>IF($T21&lt;=0,0,MIN(2*PI()-0.000001,MAX(0.000001,AG21*($T21/(($B21^2*(AG21-SIN(AG21))/8)*(($B21/4)*(1-SIN(AG21)/AG21))^0.1666666667))^(1/MAX(((AG21*(1-COS(AG21))+0.1666666667*(SIN(AG21)-AG21*COS(AG21)))/(AG21-SIN(AG21))),0.25)))))</f>
      </c>
      <c r="AI21" s="14">
        <f>IF($T21&lt;=0,0,MIN(2*PI()-0.000001,MAX(0.000001,AH21*($T21/(($B21^2*(AH21-SIN(AH21))/8)*(($B21/4)*(1-SIN(AH21)/AH21))^0.1666666667))^(1/MAX(((AH21*(1-COS(AH21))+0.1666666667*(SIN(AH21)-AH21*COS(AH21)))/(AH21-SIN(AH21))),0.25)))))</f>
      </c>
      <c r="AK21" s="14">
        <f>IF(PDWF_L_s&lt;=0,0,(PDWF_L_s/1000)/V_max)</f>
      </c>
      <c r="AL21" s="14">
        <f>IF($AK21&lt;=0,0,MIN(2*PI()-0.000001,MAX(0.000001,($AK21*48/$B21^2)^(1/3))))</f>
      </c>
      <c r="AM21" s="14">
        <f>IF($AK21&lt;=0,0,MIN(2*PI()-0.000001,MAX(0.000001,AL21*($AK21/($B21^2*(AL21-SIN(AL21))/8))^(1/MAX((AL21*(1-COS(AL21))/(AL21-SIN(AL21))),0.25)))))</f>
      </c>
      <c r="AN21" s="14">
        <f>IF($AK21&lt;=0,0,MIN(2*PI()-0.000001,MAX(0.000001,AM21*($AK21/($B21^2*(AM21-SIN(AM21))/8))^(1/MAX((AM21*(1-COS(AM21))/(AM21-SIN(AM21))),0.25)))))</f>
      </c>
      <c r="AO21" s="14">
        <f>IF($AK21&lt;=0,0,MIN(2*PI()-0.000001,MAX(0.000001,AN21*($AK21/($B21^2*(AN21-SIN(AN21))/8))^(1/MAX((AN21*(1-COS(AN21))/(AN21-SIN(AN21))),0.25)))))</f>
      </c>
      <c r="AP21" s="14">
        <f>IF($AK21&lt;=0,0,MIN(2*PI()-0.000001,MAX(0.000001,AO21*($AK21/($B21^2*(AO21-SIN(AO21))/8))^(1/MAX((AO21*(1-COS(AO21))/(AO21-SIN(AO21))),0.25)))))</f>
      </c>
      <c r="AQ21" s="14">
        <f>IF($AK21&lt;=0,0,MIN(2*PI()-0.000001,MAX(0.000001,AP21*($AK21/($B21^2*(AP21-SIN(AP21))/8))^(1/MAX((AP21*(1-COS(AP21))/(AP21-SIN(AP21))),0.25)))))</f>
      </c>
      <c r="AR21" s="14">
        <f>IF($AK21&lt;=0,0,MIN(2*PI()-0.000001,MAX(0.000001,AQ21*($AK21/($B21^2*(AQ21-SIN(AQ21))/8))^(1/MAX((AQ21*(1-COS(AQ21))/(AQ21-SIN(AQ21))),0.25)))))</f>
      </c>
      <c r="AS21" s="14">
        <f>IF($AK21&lt;=0,0,MIN(2*PI()-0.000001,MAX(0.000001,AR21*($AK21/($B21^2*(AR21-SIN(AR21))/8))^(1/MAX((AR21*(1-COS(AR21))/(AR21-SIN(AR21))),0.25)))))</f>
      </c>
      <c r="AT21" s="14">
        <f>IF($AK21&lt;=0,0,MIN(2*PI()-0.000001,MAX(0.000001,AS21*($AK21/($B21^2*(AS21-SIN(AS21))/8))^(1/MAX((AS21*(1-COS(AS21))/(AS21-SIN(AS21))),0.25)))))</f>
      </c>
      <c r="AU21" s="14">
        <f>IF($AK21&lt;=0,0,MIN(2*PI()-0.000001,MAX(0.000001,AT21*($AK21/($B21^2*(AT21-SIN(AT21))/8))^(1/MAX((AT21*(1-COS(AT21))/(AT21-SIN(AT21))),0.25)))))</f>
      </c>
      <c r="AV21" s="14">
        <f>IF($AK21&lt;=0,0,MIN(2*PI()-0.000001,MAX(0.000001,AU21*($AK21/($B21^2*(AU21-SIN(AU21))/8))^(1/MAX((AU21*(1-COS(AU21))/(AU21-SIN(AU21))),0.25)))))</f>
      </c>
      <c r="AW21" s="14">
        <f>IF($AK21&lt;=0,0,MIN(2*PI()-0.000001,MAX(0.000001,AV21*($AK21/($B21^2*(AV21-SIN(AV21))/8))^(1/MAX((AV21*(1-COS(AV21))/(AV21-SIN(AV21))),0.25)))))</f>
      </c>
      <c r="AX21" s="14">
        <f>IF($AK21&lt;=0,0,MIN(2*PI()-0.000001,MAX(0.000001,AW21*($AK21/($B21^2*(AW21-SIN(AW21))/8))^(1/MAX((AW21*(1-COS(AW21))/(AW21-SIN(AW21))),0.25)))))</f>
      </c>
      <c r="AY21" s="14">
        <f>IF($AK21&lt;=0,0,MIN(2*PI()-0.000001,MAX(0.000001,AX21*($AK21/($B21^2*(AX21-SIN(AX21))/8))^(1/MAX((AX21*(1-COS(AX21))/(AX21-SIN(AX21))),0.25)))))</f>
      </c>
      <c r="AZ21" s="14">
        <f>IF($AK21&lt;=0,0,MIN(2*PI()-0.000001,MAX(0.000001,AY21*($AK21/($B21^2*(AY21-SIN(AY21))/8))^(1/MAX((AY21*(1-COS(AY21))/(AY21-SIN(AY21))),0.25)))))</f>
      </c>
      <c r="BB21" s="14">
        <f>IF(OR(PWWF_L_s&lt;=0,'Grade Calculator'!$R21&lt;=0),0,(PWWF_L_s/1000)*n_Manning/SQRT('Grade Calculator'!$R21/100))</f>
      </c>
      <c r="BC21" s="14">
        <f>IF($BB21&lt;=0,0,MIN(2*PI()-0.000001,MAX(0.000001,($BB21*399.376094/$B21^2.666666667)^(1/4.333333333))))</f>
      </c>
      <c r="BD21" s="14">
        <f>IF($BB21&lt;=0,0,MIN(2*PI()-0.000001,MAX(0.000001,BC21*($BB21/(($B21^2*(BC21-SIN(BC21))/8)*(($B21/4)*(1-SIN(BC21)/BC21))^0.6666666667))^(1/MAX(((BC21*(1-COS(BC21))+0.6666666667*(SIN(BC21)-BC21*COS(BC21)))/(BC21-SIN(BC21))),0.25)))))</f>
      </c>
      <c r="BE21" s="14">
        <f>IF($BB21&lt;=0,0,MIN(2*PI()-0.000001,MAX(0.000001,BD21*($BB21/(($B21^2*(BD21-SIN(BD21))/8)*(($B21/4)*(1-SIN(BD21)/BD21))^0.6666666667))^(1/MAX(((BD21*(1-COS(BD21))+0.6666666667*(SIN(BD21)-BD21*COS(BD21)))/(BD21-SIN(BD21))),0.25)))))</f>
      </c>
      <c r="BF21" s="14">
        <f>IF($BB21&lt;=0,0,MIN(2*PI()-0.000001,MAX(0.000001,BE21*($BB21/(($B21^2*(BE21-SIN(BE21))/8)*(($B21/4)*(1-SIN(BE21)/BE21))^0.6666666667))^(1/MAX(((BE21*(1-COS(BE21))+0.6666666667*(SIN(BE21)-BE21*COS(BE21)))/(BE21-SIN(BE21))),0.25)))))</f>
      </c>
      <c r="BG21" s="14">
        <f>IF($BB21&lt;=0,0,MIN(2*PI()-0.000001,MAX(0.000001,BF21*($BB21/(($B21^2*(BF21-SIN(BF21))/8)*(($B21/4)*(1-SIN(BF21)/BF21))^0.6666666667))^(1/MAX(((BF21*(1-COS(BF21))+0.6666666667*(SIN(BF21)-BF21*COS(BF21)))/(BF21-SIN(BF21))),0.25)))))</f>
      </c>
      <c r="BH21" s="14">
        <f>IF($BB21&lt;=0,0,MIN(2*PI()-0.000001,MAX(0.000001,BG21*($BB21/(($B21^2*(BG21-SIN(BG21))/8)*(($B21/4)*(1-SIN(BG21)/BG21))^0.6666666667))^(1/MAX(((BG21*(1-COS(BG21))+0.6666666667*(SIN(BG21)-BG21*COS(BG21)))/(BG21-SIN(BG21))),0.25)))))</f>
      </c>
      <c r="BI21" s="14">
        <f>IF($BB21&lt;=0,0,MIN(2*PI()-0.000001,MAX(0.000001,BH21*($BB21/(($B21^2*(BH21-SIN(BH21))/8)*(($B21/4)*(1-SIN(BH21)/BH21))^0.6666666667))^(1/MAX(((BH21*(1-COS(BH21))+0.6666666667*(SIN(BH21)-BH21*COS(BH21)))/(BH21-SIN(BH21))),0.25)))))</f>
      </c>
      <c r="BJ21" s="14">
        <f>IF($BB21&lt;=0,0,MIN(2*PI()-0.000001,MAX(0.000001,BI21*($BB21/(($B21^2*(BI21-SIN(BI21))/8)*(($B21/4)*(1-SIN(BI21)/BI21))^0.6666666667))^(1/MAX(((BI21*(1-COS(BI21))+0.6666666667*(SIN(BI21)-BI21*COS(BI21)))/(BI21-SIN(BI21))),0.25)))))</f>
      </c>
      <c r="BK21" s="14">
        <f>IF($BB21&lt;=0,0,MIN(2*PI()-0.000001,MAX(0.000001,BJ21*($BB21/(($B21^2*(BJ21-SIN(BJ21))/8)*(($B21/4)*(1-SIN(BJ21)/BJ21))^0.6666666667))^(1/MAX(((BJ21*(1-COS(BJ21))+0.6666666667*(SIN(BJ21)-BJ21*COS(BJ21)))/(BJ21-SIN(BJ21))),0.25)))))</f>
      </c>
      <c r="BL21" s="14">
        <f>IF($BB21&lt;=0,0,MIN(2*PI()-0.000001,MAX(0.000001,BK21*($BB21/(($B21^2*(BK21-SIN(BK21))/8)*(($B21/4)*(1-SIN(BK21)/BK21))^0.6666666667))^(1/MAX(((BK21*(1-COS(BK21))+0.6666666667*(SIN(BK21)-BK21*COS(BK21)))/(BK21-SIN(BK21))),0.25)))))</f>
      </c>
      <c r="BM21" s="14">
        <f>IF($BB21&lt;=0,0,MIN(2*PI()-0.000001,MAX(0.000001,BL21*($BB21/(($B21^2*(BL21-SIN(BL21))/8)*(($B21/4)*(1-SIN(BL21)/BL21))^0.6666666667))^(1/MAX(((BL21*(1-COS(BL21))+0.6666666667*(SIN(BL21)-BL21*COS(BL21)))/(BL21-SIN(BL21))),0.25)))))</f>
      </c>
      <c r="BN21" s="14">
        <f>IF($BB21&lt;=0,0,MIN(2*PI()-0.000001,MAX(0.000001,BM21*($BB21/(($B21^2*(BM21-SIN(BM21))/8)*(($B21/4)*(1-SIN(BM21)/BM21))^0.6666666667))^(1/MAX(((BM21*(1-COS(BM21))+0.6666666667*(SIN(BM21)-BM21*COS(BM21)))/(BM21-SIN(BM21))),0.25)))))</f>
      </c>
      <c r="BO21" s="14">
        <f>IF($BB21&lt;=0,0,MIN(2*PI()-0.000001,MAX(0.000001,BN21*($BB21/(($B21^2*(BN21-SIN(BN21))/8)*(($B21/4)*(1-SIN(BN21)/BN21))^0.6666666667))^(1/MAX(((BN21*(1-COS(BN21))+0.6666666667*(SIN(BN21)-BN21*COS(BN21)))/(BN21-SIN(BN21))),0.25)))))</f>
      </c>
      <c r="BP21" s="14">
        <f>IF($BB21&lt;=0,0,MIN(2*PI()-0.000001,MAX(0.000001,BO21*($BB21/(($B21^2*(BO21-SIN(BO21))/8)*(($B21/4)*(1-SIN(BO21)/BO21))^0.6666666667))^(1/MAX(((BO21*(1-COS(BO21))+0.6666666667*(SIN(BO21)-BO21*COS(BO21)))/(BO21-SIN(BO21))),0.25)))))</f>
      </c>
      <c r="BQ21" s="14">
        <f>IF($BB21&lt;=0,0,MIN(2*PI()-0.000001,MAX(0.000001,BP21*($BB21/(($B21^2*(BP21-SIN(BP21))/8)*(($B21/4)*(1-SIN(BP21)/BP21))^0.6666666667))^(1/MAX(((BP21*(1-COS(BP21))+0.6666666667*(SIN(BP21)-BP21*COS(BP21)))/(BP21-SIN(BP21))),0.25)))))</f>
      </c>
    </row>
    <row r="22">
      <c r="A22" s="18">
        <f>'Grade Calculator'!$A22</f>
      </c>
      <c r="B22" s="14">
        <f>'Grade Calculator'!$B22</f>
      </c>
      <c r="C22" s="14">
        <f>IF('Grade Calculator'!$C22&lt;=0,0,('Grade Calculator'!$C22/1000)*n_Manning/SQRT(K_sss/100))</f>
      </c>
      <c r="D22" s="14">
        <f>IF($C22&lt;=0,0,MIN(2*PI()-0.000001,MAX(0.000001,($C22*81.52230382/$B22^2.166666667)^(1/3.333333333))))</f>
      </c>
      <c r="E22" s="14">
        <f>IF($C22&lt;=0,0,MIN(2*PI()-0.000001,MAX(0.000001,D22*($C22/(($B22^2*(D22-SIN(D22))/8)*(($B22/4)*(1-SIN(D22)/D22))^0.1666666667))^(1/MAX(((D22*(1-COS(D22))+0.1666666667*(SIN(D22)-D22*COS(D22)))/(D22-SIN(D22))),0.25)))))</f>
      </c>
      <c r="F22" s="14">
        <f>IF($C22&lt;=0,0,MIN(2*PI()-0.000001,MAX(0.000001,E22*($C22/(($B22^2*(E22-SIN(E22))/8)*(($B22/4)*(1-SIN(E22)/E22))^0.1666666667))^(1/MAX(((E22*(1-COS(E22))+0.1666666667*(SIN(E22)-E22*COS(E22)))/(E22-SIN(E22))),0.25)))))</f>
      </c>
      <c r="G22" s="14">
        <f>IF($C22&lt;=0,0,MIN(2*PI()-0.000001,MAX(0.000001,F22*($C22/(($B22^2*(F22-SIN(F22))/8)*(($B22/4)*(1-SIN(F22)/F22))^0.1666666667))^(1/MAX(((F22*(1-COS(F22))+0.1666666667*(SIN(F22)-F22*COS(F22)))/(F22-SIN(F22))),0.25)))))</f>
      </c>
      <c r="H22" s="14">
        <f>IF($C22&lt;=0,0,MIN(2*PI()-0.000001,MAX(0.000001,G22*($C22/(($B22^2*(G22-SIN(G22))/8)*(($B22/4)*(1-SIN(G22)/G22))^0.1666666667))^(1/MAX(((G22*(1-COS(G22))+0.1666666667*(SIN(G22)-G22*COS(G22)))/(G22-SIN(G22))),0.25)))))</f>
      </c>
      <c r="I22" s="14">
        <f>IF($C22&lt;=0,0,MIN(2*PI()-0.000001,MAX(0.000001,H22*($C22/(($B22^2*(H22-SIN(H22))/8)*(($B22/4)*(1-SIN(H22)/H22))^0.1666666667))^(1/MAX(((H22*(1-COS(H22))+0.1666666667*(SIN(H22)-H22*COS(H22)))/(H22-SIN(H22))),0.25)))))</f>
      </c>
      <c r="J22" s="14">
        <f>IF($C22&lt;=0,0,MIN(2*PI()-0.000001,MAX(0.000001,I22*($C22/(($B22^2*(I22-SIN(I22))/8)*(($B22/4)*(1-SIN(I22)/I22))^0.1666666667))^(1/MAX(((I22*(1-COS(I22))+0.1666666667*(SIN(I22)-I22*COS(I22)))/(I22-SIN(I22))),0.25)))))</f>
      </c>
      <c r="K22" s="14">
        <f>IF($C22&lt;=0,0,MIN(2*PI()-0.000001,MAX(0.000001,J22*($C22/(($B22^2*(J22-SIN(J22))/8)*(($B22/4)*(1-SIN(J22)/J22))^0.1666666667))^(1/MAX(((J22*(1-COS(J22))+0.1666666667*(SIN(J22)-J22*COS(J22)))/(J22-SIN(J22))),0.25)))))</f>
      </c>
      <c r="L22" s="14">
        <f>IF($C22&lt;=0,0,MIN(2*PI()-0.000001,MAX(0.000001,K22*($C22/(($B22^2*(K22-SIN(K22))/8)*(($B22/4)*(1-SIN(K22)/K22))^0.1666666667))^(1/MAX(((K22*(1-COS(K22))+0.1666666667*(SIN(K22)-K22*COS(K22)))/(K22-SIN(K22))),0.25)))))</f>
      </c>
      <c r="M22" s="14">
        <f>IF($C22&lt;=0,0,MIN(2*PI()-0.000001,MAX(0.000001,L22*($C22/(($B22^2*(L22-SIN(L22))/8)*(($B22/4)*(1-SIN(L22)/L22))^0.1666666667))^(1/MAX(((L22*(1-COS(L22))+0.1666666667*(SIN(L22)-L22*COS(L22)))/(L22-SIN(L22))),0.25)))))</f>
      </c>
      <c r="N22" s="14">
        <f>IF($C22&lt;=0,0,MIN(2*PI()-0.000001,MAX(0.000001,M22*($C22/(($B22^2*(M22-SIN(M22))/8)*(($B22/4)*(1-SIN(M22)/M22))^0.1666666667))^(1/MAX(((M22*(1-COS(M22))+0.1666666667*(SIN(M22)-M22*COS(M22)))/(M22-SIN(M22))),0.25)))))</f>
      </c>
      <c r="O22" s="14">
        <f>IF($C22&lt;=0,0,MIN(2*PI()-0.000001,MAX(0.000001,N22*($C22/(($B22^2*(N22-SIN(N22))/8)*(($B22/4)*(1-SIN(N22)/N22))^0.1666666667))^(1/MAX(((N22*(1-COS(N22))+0.1666666667*(SIN(N22)-N22*COS(N22)))/(N22-SIN(N22))),0.25)))))</f>
      </c>
      <c r="P22" s="14">
        <f>IF($C22&lt;=0,0,MIN(2*PI()-0.000001,MAX(0.000001,O22*($C22/(($B22^2*(O22-SIN(O22))/8)*(($B22/4)*(1-SIN(O22)/O22))^0.1666666667))^(1/MAX(((O22*(1-COS(O22))+0.1666666667*(SIN(O22)-O22*COS(O22)))/(O22-SIN(O22))),0.25)))))</f>
      </c>
      <c r="Q22" s="14">
        <f>IF($C22&lt;=0,0,MIN(2*PI()-0.000001,MAX(0.000001,P22*($C22/(($B22^2*(P22-SIN(P22))/8)*(($B22/4)*(1-SIN(P22)/P22))^0.1666666667))^(1/MAX(((P22*(1-COS(P22))+0.1666666667*(SIN(P22)-P22*COS(P22)))/(P22-SIN(P22))),0.25)))))</f>
      </c>
      <c r="R22" s="14">
        <f>IF($C22&lt;=0,0,MIN(2*PI()-0.000001,MAX(0.000001,Q22*($C22/(($B22^2*(Q22-SIN(Q22))/8)*(($B22/4)*(1-SIN(Q22)/Q22))^0.1666666667))^(1/MAX(((Q22*(1-COS(Q22))+0.1666666667*(SIN(Q22)-Q22*COS(Q22)))/(Q22-SIN(Q22))),0.25)))))</f>
      </c>
      <c r="T22" s="14">
        <f>IF('Grade Calculator'!$K22&lt;=0,0,('Grade Calculator'!$K22/1000)*n_Manning/SQRT(K_sc/100))</f>
      </c>
      <c r="U22" s="14">
        <f>IF($T22&lt;=0,0,MIN(2*PI()-0.000001,MAX(0.000001,($T22*81.52230382/$B22^2.166666667)^(1/3.333333333))))</f>
      </c>
      <c r="V22" s="14">
        <f>IF($T22&lt;=0,0,MIN(2*PI()-0.000001,MAX(0.000001,U22*($T22/(($B22^2*(U22-SIN(U22))/8)*(($B22/4)*(1-SIN(U22)/U22))^0.1666666667))^(1/MAX(((U22*(1-COS(U22))+0.1666666667*(SIN(U22)-U22*COS(U22)))/(U22-SIN(U22))),0.25)))))</f>
      </c>
      <c r="W22" s="14">
        <f>IF($T22&lt;=0,0,MIN(2*PI()-0.000001,MAX(0.000001,V22*($T22/(($B22^2*(V22-SIN(V22))/8)*(($B22/4)*(1-SIN(V22)/V22))^0.1666666667))^(1/MAX(((V22*(1-COS(V22))+0.1666666667*(SIN(V22)-V22*COS(V22)))/(V22-SIN(V22))),0.25)))))</f>
      </c>
      <c r="X22" s="14">
        <f>IF($T22&lt;=0,0,MIN(2*PI()-0.000001,MAX(0.000001,W22*($T22/(($B22^2*(W22-SIN(W22))/8)*(($B22/4)*(1-SIN(W22)/W22))^0.1666666667))^(1/MAX(((W22*(1-COS(W22))+0.1666666667*(SIN(W22)-W22*COS(W22)))/(W22-SIN(W22))),0.25)))))</f>
      </c>
      <c r="Y22" s="14">
        <f>IF($T22&lt;=0,0,MIN(2*PI()-0.000001,MAX(0.000001,X22*($T22/(($B22^2*(X22-SIN(X22))/8)*(($B22/4)*(1-SIN(X22)/X22))^0.1666666667))^(1/MAX(((X22*(1-COS(X22))+0.1666666667*(SIN(X22)-X22*COS(X22)))/(X22-SIN(X22))),0.25)))))</f>
      </c>
      <c r="Z22" s="14">
        <f>IF($T22&lt;=0,0,MIN(2*PI()-0.000001,MAX(0.000001,Y22*($T22/(($B22^2*(Y22-SIN(Y22))/8)*(($B22/4)*(1-SIN(Y22)/Y22))^0.1666666667))^(1/MAX(((Y22*(1-COS(Y22))+0.1666666667*(SIN(Y22)-Y22*COS(Y22)))/(Y22-SIN(Y22))),0.25)))))</f>
      </c>
      <c r="AA22" s="14">
        <f>IF($T22&lt;=0,0,MIN(2*PI()-0.000001,MAX(0.000001,Z22*($T22/(($B22^2*(Z22-SIN(Z22))/8)*(($B22/4)*(1-SIN(Z22)/Z22))^0.1666666667))^(1/MAX(((Z22*(1-COS(Z22))+0.1666666667*(SIN(Z22)-Z22*COS(Z22)))/(Z22-SIN(Z22))),0.25)))))</f>
      </c>
      <c r="AB22" s="14">
        <f>IF($T22&lt;=0,0,MIN(2*PI()-0.000001,MAX(0.000001,AA22*($T22/(($B22^2*(AA22-SIN(AA22))/8)*(($B22/4)*(1-SIN(AA22)/AA22))^0.1666666667))^(1/MAX(((AA22*(1-COS(AA22))+0.1666666667*(SIN(AA22)-AA22*COS(AA22)))/(AA22-SIN(AA22))),0.25)))))</f>
      </c>
      <c r="AC22" s="14">
        <f>IF($T22&lt;=0,0,MIN(2*PI()-0.000001,MAX(0.000001,AB22*($T22/(($B22^2*(AB22-SIN(AB22))/8)*(($B22/4)*(1-SIN(AB22)/AB22))^0.1666666667))^(1/MAX(((AB22*(1-COS(AB22))+0.1666666667*(SIN(AB22)-AB22*COS(AB22)))/(AB22-SIN(AB22))),0.25)))))</f>
      </c>
      <c r="AD22" s="14">
        <f>IF($T22&lt;=0,0,MIN(2*PI()-0.000001,MAX(0.000001,AC22*($T22/(($B22^2*(AC22-SIN(AC22))/8)*(($B22/4)*(1-SIN(AC22)/AC22))^0.1666666667))^(1/MAX(((AC22*(1-COS(AC22))+0.1666666667*(SIN(AC22)-AC22*COS(AC22)))/(AC22-SIN(AC22))),0.25)))))</f>
      </c>
      <c r="AE22" s="14">
        <f>IF($T22&lt;=0,0,MIN(2*PI()-0.000001,MAX(0.000001,AD22*($T22/(($B22^2*(AD22-SIN(AD22))/8)*(($B22/4)*(1-SIN(AD22)/AD22))^0.1666666667))^(1/MAX(((AD22*(1-COS(AD22))+0.1666666667*(SIN(AD22)-AD22*COS(AD22)))/(AD22-SIN(AD22))),0.25)))))</f>
      </c>
      <c r="AF22" s="14">
        <f>IF($T22&lt;=0,0,MIN(2*PI()-0.000001,MAX(0.000001,AE22*($T22/(($B22^2*(AE22-SIN(AE22))/8)*(($B22/4)*(1-SIN(AE22)/AE22))^0.1666666667))^(1/MAX(((AE22*(1-COS(AE22))+0.1666666667*(SIN(AE22)-AE22*COS(AE22)))/(AE22-SIN(AE22))),0.25)))))</f>
      </c>
      <c r="AG22" s="14">
        <f>IF($T22&lt;=0,0,MIN(2*PI()-0.000001,MAX(0.000001,AF22*($T22/(($B22^2*(AF22-SIN(AF22))/8)*(($B22/4)*(1-SIN(AF22)/AF22))^0.1666666667))^(1/MAX(((AF22*(1-COS(AF22))+0.1666666667*(SIN(AF22)-AF22*COS(AF22)))/(AF22-SIN(AF22))),0.25)))))</f>
      </c>
      <c r="AH22" s="14">
        <f>IF($T22&lt;=0,0,MIN(2*PI()-0.000001,MAX(0.000001,AG22*($T22/(($B22^2*(AG22-SIN(AG22))/8)*(($B22/4)*(1-SIN(AG22)/AG22))^0.1666666667))^(1/MAX(((AG22*(1-COS(AG22))+0.1666666667*(SIN(AG22)-AG22*COS(AG22)))/(AG22-SIN(AG22))),0.25)))))</f>
      </c>
      <c r="AI22" s="14">
        <f>IF($T22&lt;=0,0,MIN(2*PI()-0.000001,MAX(0.000001,AH22*($T22/(($B22^2*(AH22-SIN(AH22))/8)*(($B22/4)*(1-SIN(AH22)/AH22))^0.1666666667))^(1/MAX(((AH22*(1-COS(AH22))+0.1666666667*(SIN(AH22)-AH22*COS(AH22)))/(AH22-SIN(AH22))),0.25)))))</f>
      </c>
      <c r="AK22" s="14">
        <f>IF(PDWF_L_s&lt;=0,0,(PDWF_L_s/1000)/V_max)</f>
      </c>
      <c r="AL22" s="14">
        <f>IF($AK22&lt;=0,0,MIN(2*PI()-0.000001,MAX(0.000001,($AK22*48/$B22^2)^(1/3))))</f>
      </c>
      <c r="AM22" s="14">
        <f>IF($AK22&lt;=0,0,MIN(2*PI()-0.000001,MAX(0.000001,AL22*($AK22/($B22^2*(AL22-SIN(AL22))/8))^(1/MAX((AL22*(1-COS(AL22))/(AL22-SIN(AL22))),0.25)))))</f>
      </c>
      <c r="AN22" s="14">
        <f>IF($AK22&lt;=0,0,MIN(2*PI()-0.000001,MAX(0.000001,AM22*($AK22/($B22^2*(AM22-SIN(AM22))/8))^(1/MAX((AM22*(1-COS(AM22))/(AM22-SIN(AM22))),0.25)))))</f>
      </c>
      <c r="AO22" s="14">
        <f>IF($AK22&lt;=0,0,MIN(2*PI()-0.000001,MAX(0.000001,AN22*($AK22/($B22^2*(AN22-SIN(AN22))/8))^(1/MAX((AN22*(1-COS(AN22))/(AN22-SIN(AN22))),0.25)))))</f>
      </c>
      <c r="AP22" s="14">
        <f>IF($AK22&lt;=0,0,MIN(2*PI()-0.000001,MAX(0.000001,AO22*($AK22/($B22^2*(AO22-SIN(AO22))/8))^(1/MAX((AO22*(1-COS(AO22))/(AO22-SIN(AO22))),0.25)))))</f>
      </c>
      <c r="AQ22" s="14">
        <f>IF($AK22&lt;=0,0,MIN(2*PI()-0.000001,MAX(0.000001,AP22*($AK22/($B22^2*(AP22-SIN(AP22))/8))^(1/MAX((AP22*(1-COS(AP22))/(AP22-SIN(AP22))),0.25)))))</f>
      </c>
      <c r="AR22" s="14">
        <f>IF($AK22&lt;=0,0,MIN(2*PI()-0.000001,MAX(0.000001,AQ22*($AK22/($B22^2*(AQ22-SIN(AQ22))/8))^(1/MAX((AQ22*(1-COS(AQ22))/(AQ22-SIN(AQ22))),0.25)))))</f>
      </c>
      <c r="AS22" s="14">
        <f>IF($AK22&lt;=0,0,MIN(2*PI()-0.000001,MAX(0.000001,AR22*($AK22/($B22^2*(AR22-SIN(AR22))/8))^(1/MAX((AR22*(1-COS(AR22))/(AR22-SIN(AR22))),0.25)))))</f>
      </c>
      <c r="AT22" s="14">
        <f>IF($AK22&lt;=0,0,MIN(2*PI()-0.000001,MAX(0.000001,AS22*($AK22/($B22^2*(AS22-SIN(AS22))/8))^(1/MAX((AS22*(1-COS(AS22))/(AS22-SIN(AS22))),0.25)))))</f>
      </c>
      <c r="AU22" s="14">
        <f>IF($AK22&lt;=0,0,MIN(2*PI()-0.000001,MAX(0.000001,AT22*($AK22/($B22^2*(AT22-SIN(AT22))/8))^(1/MAX((AT22*(1-COS(AT22))/(AT22-SIN(AT22))),0.25)))))</f>
      </c>
      <c r="AV22" s="14">
        <f>IF($AK22&lt;=0,0,MIN(2*PI()-0.000001,MAX(0.000001,AU22*($AK22/($B22^2*(AU22-SIN(AU22))/8))^(1/MAX((AU22*(1-COS(AU22))/(AU22-SIN(AU22))),0.25)))))</f>
      </c>
      <c r="AW22" s="14">
        <f>IF($AK22&lt;=0,0,MIN(2*PI()-0.000001,MAX(0.000001,AV22*($AK22/($B22^2*(AV22-SIN(AV22))/8))^(1/MAX((AV22*(1-COS(AV22))/(AV22-SIN(AV22))),0.25)))))</f>
      </c>
      <c r="AX22" s="14">
        <f>IF($AK22&lt;=0,0,MIN(2*PI()-0.000001,MAX(0.000001,AW22*($AK22/($B22^2*(AW22-SIN(AW22))/8))^(1/MAX((AW22*(1-COS(AW22))/(AW22-SIN(AW22))),0.25)))))</f>
      </c>
      <c r="AY22" s="14">
        <f>IF($AK22&lt;=0,0,MIN(2*PI()-0.000001,MAX(0.000001,AX22*($AK22/($B22^2*(AX22-SIN(AX22))/8))^(1/MAX((AX22*(1-COS(AX22))/(AX22-SIN(AX22))),0.25)))))</f>
      </c>
      <c r="AZ22" s="14">
        <f>IF($AK22&lt;=0,0,MIN(2*PI()-0.000001,MAX(0.000001,AY22*($AK22/($B22^2*(AY22-SIN(AY22))/8))^(1/MAX((AY22*(1-COS(AY22))/(AY22-SIN(AY22))),0.25)))))</f>
      </c>
      <c r="BB22" s="14">
        <f>IF(OR(PWWF_L_s&lt;=0,'Grade Calculator'!$R22&lt;=0),0,(PWWF_L_s/1000)*n_Manning/SQRT('Grade Calculator'!$R22/100))</f>
      </c>
      <c r="BC22" s="14">
        <f>IF($BB22&lt;=0,0,MIN(2*PI()-0.000001,MAX(0.000001,($BB22*399.376094/$B22^2.666666667)^(1/4.333333333))))</f>
      </c>
      <c r="BD22" s="14">
        <f>IF($BB22&lt;=0,0,MIN(2*PI()-0.000001,MAX(0.000001,BC22*($BB22/(($B22^2*(BC22-SIN(BC22))/8)*(($B22/4)*(1-SIN(BC22)/BC22))^0.6666666667))^(1/MAX(((BC22*(1-COS(BC22))+0.6666666667*(SIN(BC22)-BC22*COS(BC22)))/(BC22-SIN(BC22))),0.25)))))</f>
      </c>
      <c r="BE22" s="14">
        <f>IF($BB22&lt;=0,0,MIN(2*PI()-0.000001,MAX(0.000001,BD22*($BB22/(($B22^2*(BD22-SIN(BD22))/8)*(($B22/4)*(1-SIN(BD22)/BD22))^0.6666666667))^(1/MAX(((BD22*(1-COS(BD22))+0.6666666667*(SIN(BD22)-BD22*COS(BD22)))/(BD22-SIN(BD22))),0.25)))))</f>
      </c>
      <c r="BF22" s="14">
        <f>IF($BB22&lt;=0,0,MIN(2*PI()-0.000001,MAX(0.000001,BE22*($BB22/(($B22^2*(BE22-SIN(BE22))/8)*(($B22/4)*(1-SIN(BE22)/BE22))^0.6666666667))^(1/MAX(((BE22*(1-COS(BE22))+0.6666666667*(SIN(BE22)-BE22*COS(BE22)))/(BE22-SIN(BE22))),0.25)))))</f>
      </c>
      <c r="BG22" s="14">
        <f>IF($BB22&lt;=0,0,MIN(2*PI()-0.000001,MAX(0.000001,BF22*($BB22/(($B22^2*(BF22-SIN(BF22))/8)*(($B22/4)*(1-SIN(BF22)/BF22))^0.6666666667))^(1/MAX(((BF22*(1-COS(BF22))+0.6666666667*(SIN(BF22)-BF22*COS(BF22)))/(BF22-SIN(BF22))),0.25)))))</f>
      </c>
      <c r="BH22" s="14">
        <f>IF($BB22&lt;=0,0,MIN(2*PI()-0.000001,MAX(0.000001,BG22*($BB22/(($B22^2*(BG22-SIN(BG22))/8)*(($B22/4)*(1-SIN(BG22)/BG22))^0.6666666667))^(1/MAX(((BG22*(1-COS(BG22))+0.6666666667*(SIN(BG22)-BG22*COS(BG22)))/(BG22-SIN(BG22))),0.25)))))</f>
      </c>
      <c r="BI22" s="14">
        <f>IF($BB22&lt;=0,0,MIN(2*PI()-0.000001,MAX(0.000001,BH22*($BB22/(($B22^2*(BH22-SIN(BH22))/8)*(($B22/4)*(1-SIN(BH22)/BH22))^0.6666666667))^(1/MAX(((BH22*(1-COS(BH22))+0.6666666667*(SIN(BH22)-BH22*COS(BH22)))/(BH22-SIN(BH22))),0.25)))))</f>
      </c>
      <c r="BJ22" s="14">
        <f>IF($BB22&lt;=0,0,MIN(2*PI()-0.000001,MAX(0.000001,BI22*($BB22/(($B22^2*(BI22-SIN(BI22))/8)*(($B22/4)*(1-SIN(BI22)/BI22))^0.6666666667))^(1/MAX(((BI22*(1-COS(BI22))+0.6666666667*(SIN(BI22)-BI22*COS(BI22)))/(BI22-SIN(BI22))),0.25)))))</f>
      </c>
      <c r="BK22" s="14">
        <f>IF($BB22&lt;=0,0,MIN(2*PI()-0.000001,MAX(0.000001,BJ22*($BB22/(($B22^2*(BJ22-SIN(BJ22))/8)*(($B22/4)*(1-SIN(BJ22)/BJ22))^0.6666666667))^(1/MAX(((BJ22*(1-COS(BJ22))+0.6666666667*(SIN(BJ22)-BJ22*COS(BJ22)))/(BJ22-SIN(BJ22))),0.25)))))</f>
      </c>
      <c r="BL22" s="14">
        <f>IF($BB22&lt;=0,0,MIN(2*PI()-0.000001,MAX(0.000001,BK22*($BB22/(($B22^2*(BK22-SIN(BK22))/8)*(($B22/4)*(1-SIN(BK22)/BK22))^0.6666666667))^(1/MAX(((BK22*(1-COS(BK22))+0.6666666667*(SIN(BK22)-BK22*COS(BK22)))/(BK22-SIN(BK22))),0.25)))))</f>
      </c>
      <c r="BM22" s="14">
        <f>IF($BB22&lt;=0,0,MIN(2*PI()-0.000001,MAX(0.000001,BL22*($BB22/(($B22^2*(BL22-SIN(BL22))/8)*(($B22/4)*(1-SIN(BL22)/BL22))^0.6666666667))^(1/MAX(((BL22*(1-COS(BL22))+0.6666666667*(SIN(BL22)-BL22*COS(BL22)))/(BL22-SIN(BL22))),0.25)))))</f>
      </c>
      <c r="BN22" s="14">
        <f>IF($BB22&lt;=0,0,MIN(2*PI()-0.000001,MAX(0.000001,BM22*($BB22/(($B22^2*(BM22-SIN(BM22))/8)*(($B22/4)*(1-SIN(BM22)/BM22))^0.6666666667))^(1/MAX(((BM22*(1-COS(BM22))+0.6666666667*(SIN(BM22)-BM22*COS(BM22)))/(BM22-SIN(BM22))),0.25)))))</f>
      </c>
      <c r="BO22" s="14">
        <f>IF($BB22&lt;=0,0,MIN(2*PI()-0.000001,MAX(0.000001,BN22*($BB22/(($B22^2*(BN22-SIN(BN22))/8)*(($B22/4)*(1-SIN(BN22)/BN22))^0.6666666667))^(1/MAX(((BN22*(1-COS(BN22))+0.6666666667*(SIN(BN22)-BN22*COS(BN22)))/(BN22-SIN(BN22))),0.25)))))</f>
      </c>
      <c r="BP22" s="14">
        <f>IF($BB22&lt;=0,0,MIN(2*PI()-0.000001,MAX(0.000001,BO22*($BB22/(($B22^2*(BO22-SIN(BO22))/8)*(($B22/4)*(1-SIN(BO22)/BO22))^0.6666666667))^(1/MAX(((BO22*(1-COS(BO22))+0.6666666667*(SIN(BO22)-BO22*COS(BO22)))/(BO22-SIN(BO22))),0.25)))))</f>
      </c>
      <c r="BQ22" s="14">
        <f>IF($BB22&lt;=0,0,MIN(2*PI()-0.000001,MAX(0.000001,BP22*($BB22/(($B22^2*(BP22-SIN(BP22))/8)*(($B22/4)*(1-SIN(BP22)/BP22))^0.6666666667))^(1/MAX(((BP22*(1-COS(BP22))+0.6666666667*(SIN(BP22)-BP22*COS(BP22)))/(BP22-SIN(BP22))),0.25)))))</f>
      </c>
    </row>
    <row r="23">
      <c r="A23" s="18">
        <f>'Grade Calculator'!$A23</f>
      </c>
      <c r="B23" s="14">
        <f>'Grade Calculator'!$B23</f>
      </c>
      <c r="C23" s="14">
        <f>IF('Grade Calculator'!$C23&lt;=0,0,('Grade Calculator'!$C23/1000)*n_Manning/SQRT(K_sss/100))</f>
      </c>
      <c r="D23" s="14">
        <f>IF($C23&lt;=0,0,MIN(2*PI()-0.000001,MAX(0.000001,($C23*81.52230382/$B23^2.166666667)^(1/3.333333333))))</f>
      </c>
      <c r="E23" s="14">
        <f>IF($C23&lt;=0,0,MIN(2*PI()-0.000001,MAX(0.000001,D23*($C23/(($B23^2*(D23-SIN(D23))/8)*(($B23/4)*(1-SIN(D23)/D23))^0.1666666667))^(1/MAX(((D23*(1-COS(D23))+0.1666666667*(SIN(D23)-D23*COS(D23)))/(D23-SIN(D23))),0.25)))))</f>
      </c>
      <c r="F23" s="14">
        <f>IF($C23&lt;=0,0,MIN(2*PI()-0.000001,MAX(0.000001,E23*($C23/(($B23^2*(E23-SIN(E23))/8)*(($B23/4)*(1-SIN(E23)/E23))^0.1666666667))^(1/MAX(((E23*(1-COS(E23))+0.1666666667*(SIN(E23)-E23*COS(E23)))/(E23-SIN(E23))),0.25)))))</f>
      </c>
      <c r="G23" s="14">
        <f>IF($C23&lt;=0,0,MIN(2*PI()-0.000001,MAX(0.000001,F23*($C23/(($B23^2*(F23-SIN(F23))/8)*(($B23/4)*(1-SIN(F23)/F23))^0.1666666667))^(1/MAX(((F23*(1-COS(F23))+0.1666666667*(SIN(F23)-F23*COS(F23)))/(F23-SIN(F23))),0.25)))))</f>
      </c>
      <c r="H23" s="14">
        <f>IF($C23&lt;=0,0,MIN(2*PI()-0.000001,MAX(0.000001,G23*($C23/(($B23^2*(G23-SIN(G23))/8)*(($B23/4)*(1-SIN(G23)/G23))^0.1666666667))^(1/MAX(((G23*(1-COS(G23))+0.1666666667*(SIN(G23)-G23*COS(G23)))/(G23-SIN(G23))),0.25)))))</f>
      </c>
      <c r="I23" s="14">
        <f>IF($C23&lt;=0,0,MIN(2*PI()-0.000001,MAX(0.000001,H23*($C23/(($B23^2*(H23-SIN(H23))/8)*(($B23/4)*(1-SIN(H23)/H23))^0.1666666667))^(1/MAX(((H23*(1-COS(H23))+0.1666666667*(SIN(H23)-H23*COS(H23)))/(H23-SIN(H23))),0.25)))))</f>
      </c>
      <c r="J23" s="14">
        <f>IF($C23&lt;=0,0,MIN(2*PI()-0.000001,MAX(0.000001,I23*($C23/(($B23^2*(I23-SIN(I23))/8)*(($B23/4)*(1-SIN(I23)/I23))^0.1666666667))^(1/MAX(((I23*(1-COS(I23))+0.1666666667*(SIN(I23)-I23*COS(I23)))/(I23-SIN(I23))),0.25)))))</f>
      </c>
      <c r="K23" s="14">
        <f>IF($C23&lt;=0,0,MIN(2*PI()-0.000001,MAX(0.000001,J23*($C23/(($B23^2*(J23-SIN(J23))/8)*(($B23/4)*(1-SIN(J23)/J23))^0.1666666667))^(1/MAX(((J23*(1-COS(J23))+0.1666666667*(SIN(J23)-J23*COS(J23)))/(J23-SIN(J23))),0.25)))))</f>
      </c>
      <c r="L23" s="14">
        <f>IF($C23&lt;=0,0,MIN(2*PI()-0.000001,MAX(0.000001,K23*($C23/(($B23^2*(K23-SIN(K23))/8)*(($B23/4)*(1-SIN(K23)/K23))^0.1666666667))^(1/MAX(((K23*(1-COS(K23))+0.1666666667*(SIN(K23)-K23*COS(K23)))/(K23-SIN(K23))),0.25)))))</f>
      </c>
      <c r="M23" s="14">
        <f>IF($C23&lt;=0,0,MIN(2*PI()-0.000001,MAX(0.000001,L23*($C23/(($B23^2*(L23-SIN(L23))/8)*(($B23/4)*(1-SIN(L23)/L23))^0.1666666667))^(1/MAX(((L23*(1-COS(L23))+0.1666666667*(SIN(L23)-L23*COS(L23)))/(L23-SIN(L23))),0.25)))))</f>
      </c>
      <c r="N23" s="14">
        <f>IF($C23&lt;=0,0,MIN(2*PI()-0.000001,MAX(0.000001,M23*($C23/(($B23^2*(M23-SIN(M23))/8)*(($B23/4)*(1-SIN(M23)/M23))^0.1666666667))^(1/MAX(((M23*(1-COS(M23))+0.1666666667*(SIN(M23)-M23*COS(M23)))/(M23-SIN(M23))),0.25)))))</f>
      </c>
      <c r="O23" s="14">
        <f>IF($C23&lt;=0,0,MIN(2*PI()-0.000001,MAX(0.000001,N23*($C23/(($B23^2*(N23-SIN(N23))/8)*(($B23/4)*(1-SIN(N23)/N23))^0.1666666667))^(1/MAX(((N23*(1-COS(N23))+0.1666666667*(SIN(N23)-N23*COS(N23)))/(N23-SIN(N23))),0.25)))))</f>
      </c>
      <c r="P23" s="14">
        <f>IF($C23&lt;=0,0,MIN(2*PI()-0.000001,MAX(0.000001,O23*($C23/(($B23^2*(O23-SIN(O23))/8)*(($B23/4)*(1-SIN(O23)/O23))^0.1666666667))^(1/MAX(((O23*(1-COS(O23))+0.1666666667*(SIN(O23)-O23*COS(O23)))/(O23-SIN(O23))),0.25)))))</f>
      </c>
      <c r="Q23" s="14">
        <f>IF($C23&lt;=0,0,MIN(2*PI()-0.000001,MAX(0.000001,P23*($C23/(($B23^2*(P23-SIN(P23))/8)*(($B23/4)*(1-SIN(P23)/P23))^0.1666666667))^(1/MAX(((P23*(1-COS(P23))+0.1666666667*(SIN(P23)-P23*COS(P23)))/(P23-SIN(P23))),0.25)))))</f>
      </c>
      <c r="R23" s="14">
        <f>IF($C23&lt;=0,0,MIN(2*PI()-0.000001,MAX(0.000001,Q23*($C23/(($B23^2*(Q23-SIN(Q23))/8)*(($B23/4)*(1-SIN(Q23)/Q23))^0.1666666667))^(1/MAX(((Q23*(1-COS(Q23))+0.1666666667*(SIN(Q23)-Q23*COS(Q23)))/(Q23-SIN(Q23))),0.25)))))</f>
      </c>
      <c r="T23" s="14">
        <f>IF('Grade Calculator'!$K23&lt;=0,0,('Grade Calculator'!$K23/1000)*n_Manning/SQRT(K_sc/100))</f>
      </c>
      <c r="U23" s="14">
        <f>IF($T23&lt;=0,0,MIN(2*PI()-0.000001,MAX(0.000001,($T23*81.52230382/$B23^2.166666667)^(1/3.333333333))))</f>
      </c>
      <c r="V23" s="14">
        <f>IF($T23&lt;=0,0,MIN(2*PI()-0.000001,MAX(0.000001,U23*($T23/(($B23^2*(U23-SIN(U23))/8)*(($B23/4)*(1-SIN(U23)/U23))^0.1666666667))^(1/MAX(((U23*(1-COS(U23))+0.1666666667*(SIN(U23)-U23*COS(U23)))/(U23-SIN(U23))),0.25)))))</f>
      </c>
      <c r="W23" s="14">
        <f>IF($T23&lt;=0,0,MIN(2*PI()-0.000001,MAX(0.000001,V23*($T23/(($B23^2*(V23-SIN(V23))/8)*(($B23/4)*(1-SIN(V23)/V23))^0.1666666667))^(1/MAX(((V23*(1-COS(V23))+0.1666666667*(SIN(V23)-V23*COS(V23)))/(V23-SIN(V23))),0.25)))))</f>
      </c>
      <c r="X23" s="14">
        <f>IF($T23&lt;=0,0,MIN(2*PI()-0.000001,MAX(0.000001,W23*($T23/(($B23^2*(W23-SIN(W23))/8)*(($B23/4)*(1-SIN(W23)/W23))^0.1666666667))^(1/MAX(((W23*(1-COS(W23))+0.1666666667*(SIN(W23)-W23*COS(W23)))/(W23-SIN(W23))),0.25)))))</f>
      </c>
      <c r="Y23" s="14">
        <f>IF($T23&lt;=0,0,MIN(2*PI()-0.000001,MAX(0.000001,X23*($T23/(($B23^2*(X23-SIN(X23))/8)*(($B23/4)*(1-SIN(X23)/X23))^0.1666666667))^(1/MAX(((X23*(1-COS(X23))+0.1666666667*(SIN(X23)-X23*COS(X23)))/(X23-SIN(X23))),0.25)))))</f>
      </c>
      <c r="Z23" s="14">
        <f>IF($T23&lt;=0,0,MIN(2*PI()-0.000001,MAX(0.000001,Y23*($T23/(($B23^2*(Y23-SIN(Y23))/8)*(($B23/4)*(1-SIN(Y23)/Y23))^0.1666666667))^(1/MAX(((Y23*(1-COS(Y23))+0.1666666667*(SIN(Y23)-Y23*COS(Y23)))/(Y23-SIN(Y23))),0.25)))))</f>
      </c>
      <c r="AA23" s="14">
        <f>IF($T23&lt;=0,0,MIN(2*PI()-0.000001,MAX(0.000001,Z23*($T23/(($B23^2*(Z23-SIN(Z23))/8)*(($B23/4)*(1-SIN(Z23)/Z23))^0.1666666667))^(1/MAX(((Z23*(1-COS(Z23))+0.1666666667*(SIN(Z23)-Z23*COS(Z23)))/(Z23-SIN(Z23))),0.25)))))</f>
      </c>
      <c r="AB23" s="14">
        <f>IF($T23&lt;=0,0,MIN(2*PI()-0.000001,MAX(0.000001,AA23*($T23/(($B23^2*(AA23-SIN(AA23))/8)*(($B23/4)*(1-SIN(AA23)/AA23))^0.1666666667))^(1/MAX(((AA23*(1-COS(AA23))+0.1666666667*(SIN(AA23)-AA23*COS(AA23)))/(AA23-SIN(AA23))),0.25)))))</f>
      </c>
      <c r="AC23" s="14">
        <f>IF($T23&lt;=0,0,MIN(2*PI()-0.000001,MAX(0.000001,AB23*($T23/(($B23^2*(AB23-SIN(AB23))/8)*(($B23/4)*(1-SIN(AB23)/AB23))^0.1666666667))^(1/MAX(((AB23*(1-COS(AB23))+0.1666666667*(SIN(AB23)-AB23*COS(AB23)))/(AB23-SIN(AB23))),0.25)))))</f>
      </c>
      <c r="AD23" s="14">
        <f>IF($T23&lt;=0,0,MIN(2*PI()-0.000001,MAX(0.000001,AC23*($T23/(($B23^2*(AC23-SIN(AC23))/8)*(($B23/4)*(1-SIN(AC23)/AC23))^0.1666666667))^(1/MAX(((AC23*(1-COS(AC23))+0.1666666667*(SIN(AC23)-AC23*COS(AC23)))/(AC23-SIN(AC23))),0.25)))))</f>
      </c>
      <c r="AE23" s="14">
        <f>IF($T23&lt;=0,0,MIN(2*PI()-0.000001,MAX(0.000001,AD23*($T23/(($B23^2*(AD23-SIN(AD23))/8)*(($B23/4)*(1-SIN(AD23)/AD23))^0.1666666667))^(1/MAX(((AD23*(1-COS(AD23))+0.1666666667*(SIN(AD23)-AD23*COS(AD23)))/(AD23-SIN(AD23))),0.25)))))</f>
      </c>
      <c r="AF23" s="14">
        <f>IF($T23&lt;=0,0,MIN(2*PI()-0.000001,MAX(0.000001,AE23*($T23/(($B23^2*(AE23-SIN(AE23))/8)*(($B23/4)*(1-SIN(AE23)/AE23))^0.1666666667))^(1/MAX(((AE23*(1-COS(AE23))+0.1666666667*(SIN(AE23)-AE23*COS(AE23)))/(AE23-SIN(AE23))),0.25)))))</f>
      </c>
      <c r="AG23" s="14">
        <f>IF($T23&lt;=0,0,MIN(2*PI()-0.000001,MAX(0.000001,AF23*($T23/(($B23^2*(AF23-SIN(AF23))/8)*(($B23/4)*(1-SIN(AF23)/AF23))^0.1666666667))^(1/MAX(((AF23*(1-COS(AF23))+0.1666666667*(SIN(AF23)-AF23*COS(AF23)))/(AF23-SIN(AF23))),0.25)))))</f>
      </c>
      <c r="AH23" s="14">
        <f>IF($T23&lt;=0,0,MIN(2*PI()-0.000001,MAX(0.000001,AG23*($T23/(($B23^2*(AG23-SIN(AG23))/8)*(($B23/4)*(1-SIN(AG23)/AG23))^0.1666666667))^(1/MAX(((AG23*(1-COS(AG23))+0.1666666667*(SIN(AG23)-AG23*COS(AG23)))/(AG23-SIN(AG23))),0.25)))))</f>
      </c>
      <c r="AI23" s="14">
        <f>IF($T23&lt;=0,0,MIN(2*PI()-0.000001,MAX(0.000001,AH23*($T23/(($B23^2*(AH23-SIN(AH23))/8)*(($B23/4)*(1-SIN(AH23)/AH23))^0.1666666667))^(1/MAX(((AH23*(1-COS(AH23))+0.1666666667*(SIN(AH23)-AH23*COS(AH23)))/(AH23-SIN(AH23))),0.25)))))</f>
      </c>
      <c r="AK23" s="14">
        <f>IF(PDWF_L_s&lt;=0,0,(PDWF_L_s/1000)/V_max)</f>
      </c>
      <c r="AL23" s="14">
        <f>IF($AK23&lt;=0,0,MIN(2*PI()-0.000001,MAX(0.000001,($AK23*48/$B23^2)^(1/3))))</f>
      </c>
      <c r="AM23" s="14">
        <f>IF($AK23&lt;=0,0,MIN(2*PI()-0.000001,MAX(0.000001,AL23*($AK23/($B23^2*(AL23-SIN(AL23))/8))^(1/MAX((AL23*(1-COS(AL23))/(AL23-SIN(AL23))),0.25)))))</f>
      </c>
      <c r="AN23" s="14">
        <f>IF($AK23&lt;=0,0,MIN(2*PI()-0.000001,MAX(0.000001,AM23*($AK23/($B23^2*(AM23-SIN(AM23))/8))^(1/MAX((AM23*(1-COS(AM23))/(AM23-SIN(AM23))),0.25)))))</f>
      </c>
      <c r="AO23" s="14">
        <f>IF($AK23&lt;=0,0,MIN(2*PI()-0.000001,MAX(0.000001,AN23*($AK23/($B23^2*(AN23-SIN(AN23))/8))^(1/MAX((AN23*(1-COS(AN23))/(AN23-SIN(AN23))),0.25)))))</f>
      </c>
      <c r="AP23" s="14">
        <f>IF($AK23&lt;=0,0,MIN(2*PI()-0.000001,MAX(0.000001,AO23*($AK23/($B23^2*(AO23-SIN(AO23))/8))^(1/MAX((AO23*(1-COS(AO23))/(AO23-SIN(AO23))),0.25)))))</f>
      </c>
      <c r="AQ23" s="14">
        <f>IF($AK23&lt;=0,0,MIN(2*PI()-0.000001,MAX(0.000001,AP23*($AK23/($B23^2*(AP23-SIN(AP23))/8))^(1/MAX((AP23*(1-COS(AP23))/(AP23-SIN(AP23))),0.25)))))</f>
      </c>
      <c r="AR23" s="14">
        <f>IF($AK23&lt;=0,0,MIN(2*PI()-0.000001,MAX(0.000001,AQ23*($AK23/($B23^2*(AQ23-SIN(AQ23))/8))^(1/MAX((AQ23*(1-COS(AQ23))/(AQ23-SIN(AQ23))),0.25)))))</f>
      </c>
      <c r="AS23" s="14">
        <f>IF($AK23&lt;=0,0,MIN(2*PI()-0.000001,MAX(0.000001,AR23*($AK23/($B23^2*(AR23-SIN(AR23))/8))^(1/MAX((AR23*(1-COS(AR23))/(AR23-SIN(AR23))),0.25)))))</f>
      </c>
      <c r="AT23" s="14">
        <f>IF($AK23&lt;=0,0,MIN(2*PI()-0.000001,MAX(0.000001,AS23*($AK23/($B23^2*(AS23-SIN(AS23))/8))^(1/MAX((AS23*(1-COS(AS23))/(AS23-SIN(AS23))),0.25)))))</f>
      </c>
      <c r="AU23" s="14">
        <f>IF($AK23&lt;=0,0,MIN(2*PI()-0.000001,MAX(0.000001,AT23*($AK23/($B23^2*(AT23-SIN(AT23))/8))^(1/MAX((AT23*(1-COS(AT23))/(AT23-SIN(AT23))),0.25)))))</f>
      </c>
      <c r="AV23" s="14">
        <f>IF($AK23&lt;=0,0,MIN(2*PI()-0.000001,MAX(0.000001,AU23*($AK23/($B23^2*(AU23-SIN(AU23))/8))^(1/MAX((AU23*(1-COS(AU23))/(AU23-SIN(AU23))),0.25)))))</f>
      </c>
      <c r="AW23" s="14">
        <f>IF($AK23&lt;=0,0,MIN(2*PI()-0.000001,MAX(0.000001,AV23*($AK23/($B23^2*(AV23-SIN(AV23))/8))^(1/MAX((AV23*(1-COS(AV23))/(AV23-SIN(AV23))),0.25)))))</f>
      </c>
      <c r="AX23" s="14">
        <f>IF($AK23&lt;=0,0,MIN(2*PI()-0.000001,MAX(0.000001,AW23*($AK23/($B23^2*(AW23-SIN(AW23))/8))^(1/MAX((AW23*(1-COS(AW23))/(AW23-SIN(AW23))),0.25)))))</f>
      </c>
      <c r="AY23" s="14">
        <f>IF($AK23&lt;=0,0,MIN(2*PI()-0.000001,MAX(0.000001,AX23*($AK23/($B23^2*(AX23-SIN(AX23))/8))^(1/MAX((AX23*(1-COS(AX23))/(AX23-SIN(AX23))),0.25)))))</f>
      </c>
      <c r="AZ23" s="14">
        <f>IF($AK23&lt;=0,0,MIN(2*PI()-0.000001,MAX(0.000001,AY23*($AK23/($B23^2*(AY23-SIN(AY23))/8))^(1/MAX((AY23*(1-COS(AY23))/(AY23-SIN(AY23))),0.25)))))</f>
      </c>
      <c r="BB23" s="14">
        <f>IF(OR(PWWF_L_s&lt;=0,'Grade Calculator'!$R23&lt;=0),0,(PWWF_L_s/1000)*n_Manning/SQRT('Grade Calculator'!$R23/100))</f>
      </c>
      <c r="BC23" s="14">
        <f>IF($BB23&lt;=0,0,MIN(2*PI()-0.000001,MAX(0.000001,($BB23*399.376094/$B23^2.666666667)^(1/4.333333333))))</f>
      </c>
      <c r="BD23" s="14">
        <f>IF($BB23&lt;=0,0,MIN(2*PI()-0.000001,MAX(0.000001,BC23*($BB23/(($B23^2*(BC23-SIN(BC23))/8)*(($B23/4)*(1-SIN(BC23)/BC23))^0.6666666667))^(1/MAX(((BC23*(1-COS(BC23))+0.6666666667*(SIN(BC23)-BC23*COS(BC23)))/(BC23-SIN(BC23))),0.25)))))</f>
      </c>
      <c r="BE23" s="14">
        <f>IF($BB23&lt;=0,0,MIN(2*PI()-0.000001,MAX(0.000001,BD23*($BB23/(($B23^2*(BD23-SIN(BD23))/8)*(($B23/4)*(1-SIN(BD23)/BD23))^0.6666666667))^(1/MAX(((BD23*(1-COS(BD23))+0.6666666667*(SIN(BD23)-BD23*COS(BD23)))/(BD23-SIN(BD23))),0.25)))))</f>
      </c>
      <c r="BF23" s="14">
        <f>IF($BB23&lt;=0,0,MIN(2*PI()-0.000001,MAX(0.000001,BE23*($BB23/(($B23^2*(BE23-SIN(BE23))/8)*(($B23/4)*(1-SIN(BE23)/BE23))^0.6666666667))^(1/MAX(((BE23*(1-COS(BE23))+0.6666666667*(SIN(BE23)-BE23*COS(BE23)))/(BE23-SIN(BE23))),0.25)))))</f>
      </c>
      <c r="BG23" s="14">
        <f>IF($BB23&lt;=0,0,MIN(2*PI()-0.000001,MAX(0.000001,BF23*($BB23/(($B23^2*(BF23-SIN(BF23))/8)*(($B23/4)*(1-SIN(BF23)/BF23))^0.6666666667))^(1/MAX(((BF23*(1-COS(BF23))+0.6666666667*(SIN(BF23)-BF23*COS(BF23)))/(BF23-SIN(BF23))),0.25)))))</f>
      </c>
      <c r="BH23" s="14">
        <f>IF($BB23&lt;=0,0,MIN(2*PI()-0.000001,MAX(0.000001,BG23*($BB23/(($B23^2*(BG23-SIN(BG23))/8)*(($B23/4)*(1-SIN(BG23)/BG23))^0.6666666667))^(1/MAX(((BG23*(1-COS(BG23))+0.6666666667*(SIN(BG23)-BG23*COS(BG23)))/(BG23-SIN(BG23))),0.25)))))</f>
      </c>
      <c r="BI23" s="14">
        <f>IF($BB23&lt;=0,0,MIN(2*PI()-0.000001,MAX(0.000001,BH23*($BB23/(($B23^2*(BH23-SIN(BH23))/8)*(($B23/4)*(1-SIN(BH23)/BH23))^0.6666666667))^(1/MAX(((BH23*(1-COS(BH23))+0.6666666667*(SIN(BH23)-BH23*COS(BH23)))/(BH23-SIN(BH23))),0.25)))))</f>
      </c>
      <c r="BJ23" s="14">
        <f>IF($BB23&lt;=0,0,MIN(2*PI()-0.000001,MAX(0.000001,BI23*($BB23/(($B23^2*(BI23-SIN(BI23))/8)*(($B23/4)*(1-SIN(BI23)/BI23))^0.6666666667))^(1/MAX(((BI23*(1-COS(BI23))+0.6666666667*(SIN(BI23)-BI23*COS(BI23)))/(BI23-SIN(BI23))),0.25)))))</f>
      </c>
      <c r="BK23" s="14">
        <f>IF($BB23&lt;=0,0,MIN(2*PI()-0.000001,MAX(0.000001,BJ23*($BB23/(($B23^2*(BJ23-SIN(BJ23))/8)*(($B23/4)*(1-SIN(BJ23)/BJ23))^0.6666666667))^(1/MAX(((BJ23*(1-COS(BJ23))+0.6666666667*(SIN(BJ23)-BJ23*COS(BJ23)))/(BJ23-SIN(BJ23))),0.25)))))</f>
      </c>
      <c r="BL23" s="14">
        <f>IF($BB23&lt;=0,0,MIN(2*PI()-0.000001,MAX(0.000001,BK23*($BB23/(($B23^2*(BK23-SIN(BK23))/8)*(($B23/4)*(1-SIN(BK23)/BK23))^0.6666666667))^(1/MAX(((BK23*(1-COS(BK23))+0.6666666667*(SIN(BK23)-BK23*COS(BK23)))/(BK23-SIN(BK23))),0.25)))))</f>
      </c>
      <c r="BM23" s="14">
        <f>IF($BB23&lt;=0,0,MIN(2*PI()-0.000001,MAX(0.000001,BL23*($BB23/(($B23^2*(BL23-SIN(BL23))/8)*(($B23/4)*(1-SIN(BL23)/BL23))^0.6666666667))^(1/MAX(((BL23*(1-COS(BL23))+0.6666666667*(SIN(BL23)-BL23*COS(BL23)))/(BL23-SIN(BL23))),0.25)))))</f>
      </c>
      <c r="BN23" s="14">
        <f>IF($BB23&lt;=0,0,MIN(2*PI()-0.000001,MAX(0.000001,BM23*($BB23/(($B23^2*(BM23-SIN(BM23))/8)*(($B23/4)*(1-SIN(BM23)/BM23))^0.6666666667))^(1/MAX(((BM23*(1-COS(BM23))+0.6666666667*(SIN(BM23)-BM23*COS(BM23)))/(BM23-SIN(BM23))),0.25)))))</f>
      </c>
      <c r="BO23" s="14">
        <f>IF($BB23&lt;=0,0,MIN(2*PI()-0.000001,MAX(0.000001,BN23*($BB23/(($B23^2*(BN23-SIN(BN23))/8)*(($B23/4)*(1-SIN(BN23)/BN23))^0.6666666667))^(1/MAX(((BN23*(1-COS(BN23))+0.6666666667*(SIN(BN23)-BN23*COS(BN23)))/(BN23-SIN(BN23))),0.25)))))</f>
      </c>
      <c r="BP23" s="14">
        <f>IF($BB23&lt;=0,0,MIN(2*PI()-0.000001,MAX(0.000001,BO23*($BB23/(($B23^2*(BO23-SIN(BO23))/8)*(($B23/4)*(1-SIN(BO23)/BO23))^0.6666666667))^(1/MAX(((BO23*(1-COS(BO23))+0.6666666667*(SIN(BO23)-BO23*COS(BO23)))/(BO23-SIN(BO23))),0.25)))))</f>
      </c>
      <c r="BQ23" s="14">
        <f>IF($BB23&lt;=0,0,MIN(2*PI()-0.000001,MAX(0.000001,BP23*($BB23/(($B23^2*(BP23-SIN(BP23))/8)*(($B23/4)*(1-SIN(BP23)/BP23))^0.6666666667))^(1/MAX(((BP23*(1-COS(BP23))+0.6666666667*(SIN(BP23)-BP23*COS(BP23)))/(BP23-SIN(BP23))),0.25)))))</f>
      </c>
    </row>
    <row r="24">
      <c r="A24" s="18">
        <f>'Grade Calculator'!$A24</f>
      </c>
      <c r="B24" s="14">
        <f>'Grade Calculator'!$B24</f>
      </c>
      <c r="C24" s="14">
        <f>IF('Grade Calculator'!$C24&lt;=0,0,('Grade Calculator'!$C24/1000)*n_Manning/SQRT(K_sss/100))</f>
      </c>
      <c r="D24" s="14">
        <f>IF($C24&lt;=0,0,MIN(2*PI()-0.000001,MAX(0.000001,($C24*81.52230382/$B24^2.166666667)^(1/3.333333333))))</f>
      </c>
      <c r="E24" s="14">
        <f>IF($C24&lt;=0,0,MIN(2*PI()-0.000001,MAX(0.000001,D24*($C24/(($B24^2*(D24-SIN(D24))/8)*(($B24/4)*(1-SIN(D24)/D24))^0.1666666667))^(1/MAX(((D24*(1-COS(D24))+0.1666666667*(SIN(D24)-D24*COS(D24)))/(D24-SIN(D24))),0.25)))))</f>
      </c>
      <c r="F24" s="14">
        <f>IF($C24&lt;=0,0,MIN(2*PI()-0.000001,MAX(0.000001,E24*($C24/(($B24^2*(E24-SIN(E24))/8)*(($B24/4)*(1-SIN(E24)/E24))^0.1666666667))^(1/MAX(((E24*(1-COS(E24))+0.1666666667*(SIN(E24)-E24*COS(E24)))/(E24-SIN(E24))),0.25)))))</f>
      </c>
      <c r="G24" s="14">
        <f>IF($C24&lt;=0,0,MIN(2*PI()-0.000001,MAX(0.000001,F24*($C24/(($B24^2*(F24-SIN(F24))/8)*(($B24/4)*(1-SIN(F24)/F24))^0.1666666667))^(1/MAX(((F24*(1-COS(F24))+0.1666666667*(SIN(F24)-F24*COS(F24)))/(F24-SIN(F24))),0.25)))))</f>
      </c>
      <c r="H24" s="14">
        <f>IF($C24&lt;=0,0,MIN(2*PI()-0.000001,MAX(0.000001,G24*($C24/(($B24^2*(G24-SIN(G24))/8)*(($B24/4)*(1-SIN(G24)/G24))^0.1666666667))^(1/MAX(((G24*(1-COS(G24))+0.1666666667*(SIN(G24)-G24*COS(G24)))/(G24-SIN(G24))),0.25)))))</f>
      </c>
      <c r="I24" s="14">
        <f>IF($C24&lt;=0,0,MIN(2*PI()-0.000001,MAX(0.000001,H24*($C24/(($B24^2*(H24-SIN(H24))/8)*(($B24/4)*(1-SIN(H24)/H24))^0.1666666667))^(1/MAX(((H24*(1-COS(H24))+0.1666666667*(SIN(H24)-H24*COS(H24)))/(H24-SIN(H24))),0.25)))))</f>
      </c>
      <c r="J24" s="14">
        <f>IF($C24&lt;=0,0,MIN(2*PI()-0.000001,MAX(0.000001,I24*($C24/(($B24^2*(I24-SIN(I24))/8)*(($B24/4)*(1-SIN(I24)/I24))^0.1666666667))^(1/MAX(((I24*(1-COS(I24))+0.1666666667*(SIN(I24)-I24*COS(I24)))/(I24-SIN(I24))),0.25)))))</f>
      </c>
      <c r="K24" s="14">
        <f>IF($C24&lt;=0,0,MIN(2*PI()-0.000001,MAX(0.000001,J24*($C24/(($B24^2*(J24-SIN(J24))/8)*(($B24/4)*(1-SIN(J24)/J24))^0.1666666667))^(1/MAX(((J24*(1-COS(J24))+0.1666666667*(SIN(J24)-J24*COS(J24)))/(J24-SIN(J24))),0.25)))))</f>
      </c>
      <c r="L24" s="14">
        <f>IF($C24&lt;=0,0,MIN(2*PI()-0.000001,MAX(0.000001,K24*($C24/(($B24^2*(K24-SIN(K24))/8)*(($B24/4)*(1-SIN(K24)/K24))^0.1666666667))^(1/MAX(((K24*(1-COS(K24))+0.1666666667*(SIN(K24)-K24*COS(K24)))/(K24-SIN(K24))),0.25)))))</f>
      </c>
      <c r="M24" s="14">
        <f>IF($C24&lt;=0,0,MIN(2*PI()-0.000001,MAX(0.000001,L24*($C24/(($B24^2*(L24-SIN(L24))/8)*(($B24/4)*(1-SIN(L24)/L24))^0.1666666667))^(1/MAX(((L24*(1-COS(L24))+0.1666666667*(SIN(L24)-L24*COS(L24)))/(L24-SIN(L24))),0.25)))))</f>
      </c>
      <c r="N24" s="14">
        <f>IF($C24&lt;=0,0,MIN(2*PI()-0.000001,MAX(0.000001,M24*($C24/(($B24^2*(M24-SIN(M24))/8)*(($B24/4)*(1-SIN(M24)/M24))^0.1666666667))^(1/MAX(((M24*(1-COS(M24))+0.1666666667*(SIN(M24)-M24*COS(M24)))/(M24-SIN(M24))),0.25)))))</f>
      </c>
      <c r="O24" s="14">
        <f>IF($C24&lt;=0,0,MIN(2*PI()-0.000001,MAX(0.000001,N24*($C24/(($B24^2*(N24-SIN(N24))/8)*(($B24/4)*(1-SIN(N24)/N24))^0.1666666667))^(1/MAX(((N24*(1-COS(N24))+0.1666666667*(SIN(N24)-N24*COS(N24)))/(N24-SIN(N24))),0.25)))))</f>
      </c>
      <c r="P24" s="14">
        <f>IF($C24&lt;=0,0,MIN(2*PI()-0.000001,MAX(0.000001,O24*($C24/(($B24^2*(O24-SIN(O24))/8)*(($B24/4)*(1-SIN(O24)/O24))^0.1666666667))^(1/MAX(((O24*(1-COS(O24))+0.1666666667*(SIN(O24)-O24*COS(O24)))/(O24-SIN(O24))),0.25)))))</f>
      </c>
      <c r="Q24" s="14">
        <f>IF($C24&lt;=0,0,MIN(2*PI()-0.000001,MAX(0.000001,P24*($C24/(($B24^2*(P24-SIN(P24))/8)*(($B24/4)*(1-SIN(P24)/P24))^0.1666666667))^(1/MAX(((P24*(1-COS(P24))+0.1666666667*(SIN(P24)-P24*COS(P24)))/(P24-SIN(P24))),0.25)))))</f>
      </c>
      <c r="R24" s="14">
        <f>IF($C24&lt;=0,0,MIN(2*PI()-0.000001,MAX(0.000001,Q24*($C24/(($B24^2*(Q24-SIN(Q24))/8)*(($B24/4)*(1-SIN(Q24)/Q24))^0.1666666667))^(1/MAX(((Q24*(1-COS(Q24))+0.1666666667*(SIN(Q24)-Q24*COS(Q24)))/(Q24-SIN(Q24))),0.25)))))</f>
      </c>
      <c r="T24" s="14">
        <f>IF('Grade Calculator'!$K24&lt;=0,0,('Grade Calculator'!$K24/1000)*n_Manning/SQRT(K_sc/100))</f>
      </c>
      <c r="U24" s="14">
        <f>IF($T24&lt;=0,0,MIN(2*PI()-0.000001,MAX(0.000001,($T24*81.52230382/$B24^2.166666667)^(1/3.333333333))))</f>
      </c>
      <c r="V24" s="14">
        <f>IF($T24&lt;=0,0,MIN(2*PI()-0.000001,MAX(0.000001,U24*($T24/(($B24^2*(U24-SIN(U24))/8)*(($B24/4)*(1-SIN(U24)/U24))^0.1666666667))^(1/MAX(((U24*(1-COS(U24))+0.1666666667*(SIN(U24)-U24*COS(U24)))/(U24-SIN(U24))),0.25)))))</f>
      </c>
      <c r="W24" s="14">
        <f>IF($T24&lt;=0,0,MIN(2*PI()-0.000001,MAX(0.000001,V24*($T24/(($B24^2*(V24-SIN(V24))/8)*(($B24/4)*(1-SIN(V24)/V24))^0.1666666667))^(1/MAX(((V24*(1-COS(V24))+0.1666666667*(SIN(V24)-V24*COS(V24)))/(V24-SIN(V24))),0.25)))))</f>
      </c>
      <c r="X24" s="14">
        <f>IF($T24&lt;=0,0,MIN(2*PI()-0.000001,MAX(0.000001,W24*($T24/(($B24^2*(W24-SIN(W24))/8)*(($B24/4)*(1-SIN(W24)/W24))^0.1666666667))^(1/MAX(((W24*(1-COS(W24))+0.1666666667*(SIN(W24)-W24*COS(W24)))/(W24-SIN(W24))),0.25)))))</f>
      </c>
      <c r="Y24" s="14">
        <f>IF($T24&lt;=0,0,MIN(2*PI()-0.000001,MAX(0.000001,X24*($T24/(($B24^2*(X24-SIN(X24))/8)*(($B24/4)*(1-SIN(X24)/X24))^0.1666666667))^(1/MAX(((X24*(1-COS(X24))+0.1666666667*(SIN(X24)-X24*COS(X24)))/(X24-SIN(X24))),0.25)))))</f>
      </c>
      <c r="Z24" s="14">
        <f>IF($T24&lt;=0,0,MIN(2*PI()-0.000001,MAX(0.000001,Y24*($T24/(($B24^2*(Y24-SIN(Y24))/8)*(($B24/4)*(1-SIN(Y24)/Y24))^0.1666666667))^(1/MAX(((Y24*(1-COS(Y24))+0.1666666667*(SIN(Y24)-Y24*COS(Y24)))/(Y24-SIN(Y24))),0.25)))))</f>
      </c>
      <c r="AA24" s="14">
        <f>IF($T24&lt;=0,0,MIN(2*PI()-0.000001,MAX(0.000001,Z24*($T24/(($B24^2*(Z24-SIN(Z24))/8)*(($B24/4)*(1-SIN(Z24)/Z24))^0.1666666667))^(1/MAX(((Z24*(1-COS(Z24))+0.1666666667*(SIN(Z24)-Z24*COS(Z24)))/(Z24-SIN(Z24))),0.25)))))</f>
      </c>
      <c r="AB24" s="14">
        <f>IF($T24&lt;=0,0,MIN(2*PI()-0.000001,MAX(0.000001,AA24*($T24/(($B24^2*(AA24-SIN(AA24))/8)*(($B24/4)*(1-SIN(AA24)/AA24))^0.1666666667))^(1/MAX(((AA24*(1-COS(AA24))+0.1666666667*(SIN(AA24)-AA24*COS(AA24)))/(AA24-SIN(AA24))),0.25)))))</f>
      </c>
      <c r="AC24" s="14">
        <f>IF($T24&lt;=0,0,MIN(2*PI()-0.000001,MAX(0.000001,AB24*($T24/(($B24^2*(AB24-SIN(AB24))/8)*(($B24/4)*(1-SIN(AB24)/AB24))^0.1666666667))^(1/MAX(((AB24*(1-COS(AB24))+0.1666666667*(SIN(AB24)-AB24*COS(AB24)))/(AB24-SIN(AB24))),0.25)))))</f>
      </c>
      <c r="AD24" s="14">
        <f>IF($T24&lt;=0,0,MIN(2*PI()-0.000001,MAX(0.000001,AC24*($T24/(($B24^2*(AC24-SIN(AC24))/8)*(($B24/4)*(1-SIN(AC24)/AC24))^0.1666666667))^(1/MAX(((AC24*(1-COS(AC24))+0.1666666667*(SIN(AC24)-AC24*COS(AC24)))/(AC24-SIN(AC24))),0.25)))))</f>
      </c>
      <c r="AE24" s="14">
        <f>IF($T24&lt;=0,0,MIN(2*PI()-0.000001,MAX(0.000001,AD24*($T24/(($B24^2*(AD24-SIN(AD24))/8)*(($B24/4)*(1-SIN(AD24)/AD24))^0.1666666667))^(1/MAX(((AD24*(1-COS(AD24))+0.1666666667*(SIN(AD24)-AD24*COS(AD24)))/(AD24-SIN(AD24))),0.25)))))</f>
      </c>
      <c r="AF24" s="14">
        <f>IF($T24&lt;=0,0,MIN(2*PI()-0.000001,MAX(0.000001,AE24*($T24/(($B24^2*(AE24-SIN(AE24))/8)*(($B24/4)*(1-SIN(AE24)/AE24))^0.1666666667))^(1/MAX(((AE24*(1-COS(AE24))+0.1666666667*(SIN(AE24)-AE24*COS(AE24)))/(AE24-SIN(AE24))),0.25)))))</f>
      </c>
      <c r="AG24" s="14">
        <f>IF($T24&lt;=0,0,MIN(2*PI()-0.000001,MAX(0.000001,AF24*($T24/(($B24^2*(AF24-SIN(AF24))/8)*(($B24/4)*(1-SIN(AF24)/AF24))^0.1666666667))^(1/MAX(((AF24*(1-COS(AF24))+0.1666666667*(SIN(AF24)-AF24*COS(AF24)))/(AF24-SIN(AF24))),0.25)))))</f>
      </c>
      <c r="AH24" s="14">
        <f>IF($T24&lt;=0,0,MIN(2*PI()-0.000001,MAX(0.000001,AG24*($T24/(($B24^2*(AG24-SIN(AG24))/8)*(($B24/4)*(1-SIN(AG24)/AG24))^0.1666666667))^(1/MAX(((AG24*(1-COS(AG24))+0.1666666667*(SIN(AG24)-AG24*COS(AG24)))/(AG24-SIN(AG24))),0.25)))))</f>
      </c>
      <c r="AI24" s="14">
        <f>IF($T24&lt;=0,0,MIN(2*PI()-0.000001,MAX(0.000001,AH24*($T24/(($B24^2*(AH24-SIN(AH24))/8)*(($B24/4)*(1-SIN(AH24)/AH24))^0.1666666667))^(1/MAX(((AH24*(1-COS(AH24))+0.1666666667*(SIN(AH24)-AH24*COS(AH24)))/(AH24-SIN(AH24))),0.25)))))</f>
      </c>
      <c r="AK24" s="14">
        <f>IF(PDWF_L_s&lt;=0,0,(PDWF_L_s/1000)/V_max)</f>
      </c>
      <c r="AL24" s="14">
        <f>IF($AK24&lt;=0,0,MIN(2*PI()-0.000001,MAX(0.000001,($AK24*48/$B24^2)^(1/3))))</f>
      </c>
      <c r="AM24" s="14">
        <f>IF($AK24&lt;=0,0,MIN(2*PI()-0.000001,MAX(0.000001,AL24*($AK24/($B24^2*(AL24-SIN(AL24))/8))^(1/MAX((AL24*(1-COS(AL24))/(AL24-SIN(AL24))),0.25)))))</f>
      </c>
      <c r="AN24" s="14">
        <f>IF($AK24&lt;=0,0,MIN(2*PI()-0.000001,MAX(0.000001,AM24*($AK24/($B24^2*(AM24-SIN(AM24))/8))^(1/MAX((AM24*(1-COS(AM24))/(AM24-SIN(AM24))),0.25)))))</f>
      </c>
      <c r="AO24" s="14">
        <f>IF($AK24&lt;=0,0,MIN(2*PI()-0.000001,MAX(0.000001,AN24*($AK24/($B24^2*(AN24-SIN(AN24))/8))^(1/MAX((AN24*(1-COS(AN24))/(AN24-SIN(AN24))),0.25)))))</f>
      </c>
      <c r="AP24" s="14">
        <f>IF($AK24&lt;=0,0,MIN(2*PI()-0.000001,MAX(0.000001,AO24*($AK24/($B24^2*(AO24-SIN(AO24))/8))^(1/MAX((AO24*(1-COS(AO24))/(AO24-SIN(AO24))),0.25)))))</f>
      </c>
      <c r="AQ24" s="14">
        <f>IF($AK24&lt;=0,0,MIN(2*PI()-0.000001,MAX(0.000001,AP24*($AK24/($B24^2*(AP24-SIN(AP24))/8))^(1/MAX((AP24*(1-COS(AP24))/(AP24-SIN(AP24))),0.25)))))</f>
      </c>
      <c r="AR24" s="14">
        <f>IF($AK24&lt;=0,0,MIN(2*PI()-0.000001,MAX(0.000001,AQ24*($AK24/($B24^2*(AQ24-SIN(AQ24))/8))^(1/MAX((AQ24*(1-COS(AQ24))/(AQ24-SIN(AQ24))),0.25)))))</f>
      </c>
      <c r="AS24" s="14">
        <f>IF($AK24&lt;=0,0,MIN(2*PI()-0.000001,MAX(0.000001,AR24*($AK24/($B24^2*(AR24-SIN(AR24))/8))^(1/MAX((AR24*(1-COS(AR24))/(AR24-SIN(AR24))),0.25)))))</f>
      </c>
      <c r="AT24" s="14">
        <f>IF($AK24&lt;=0,0,MIN(2*PI()-0.000001,MAX(0.000001,AS24*($AK24/($B24^2*(AS24-SIN(AS24))/8))^(1/MAX((AS24*(1-COS(AS24))/(AS24-SIN(AS24))),0.25)))))</f>
      </c>
      <c r="AU24" s="14">
        <f>IF($AK24&lt;=0,0,MIN(2*PI()-0.000001,MAX(0.000001,AT24*($AK24/($B24^2*(AT24-SIN(AT24))/8))^(1/MAX((AT24*(1-COS(AT24))/(AT24-SIN(AT24))),0.25)))))</f>
      </c>
      <c r="AV24" s="14">
        <f>IF($AK24&lt;=0,0,MIN(2*PI()-0.000001,MAX(0.000001,AU24*($AK24/($B24^2*(AU24-SIN(AU24))/8))^(1/MAX((AU24*(1-COS(AU24))/(AU24-SIN(AU24))),0.25)))))</f>
      </c>
      <c r="AW24" s="14">
        <f>IF($AK24&lt;=0,0,MIN(2*PI()-0.000001,MAX(0.000001,AV24*($AK24/($B24^2*(AV24-SIN(AV24))/8))^(1/MAX((AV24*(1-COS(AV24))/(AV24-SIN(AV24))),0.25)))))</f>
      </c>
      <c r="AX24" s="14">
        <f>IF($AK24&lt;=0,0,MIN(2*PI()-0.000001,MAX(0.000001,AW24*($AK24/($B24^2*(AW24-SIN(AW24))/8))^(1/MAX((AW24*(1-COS(AW24))/(AW24-SIN(AW24))),0.25)))))</f>
      </c>
      <c r="AY24" s="14">
        <f>IF($AK24&lt;=0,0,MIN(2*PI()-0.000001,MAX(0.000001,AX24*($AK24/($B24^2*(AX24-SIN(AX24))/8))^(1/MAX((AX24*(1-COS(AX24))/(AX24-SIN(AX24))),0.25)))))</f>
      </c>
      <c r="AZ24" s="14">
        <f>IF($AK24&lt;=0,0,MIN(2*PI()-0.000001,MAX(0.000001,AY24*($AK24/($B24^2*(AY24-SIN(AY24))/8))^(1/MAX((AY24*(1-COS(AY24))/(AY24-SIN(AY24))),0.25)))))</f>
      </c>
      <c r="BB24" s="14">
        <f>IF(OR(PWWF_L_s&lt;=0,'Grade Calculator'!$R24&lt;=0),0,(PWWF_L_s/1000)*n_Manning/SQRT('Grade Calculator'!$R24/100))</f>
      </c>
      <c r="BC24" s="14">
        <f>IF($BB24&lt;=0,0,MIN(2*PI()-0.000001,MAX(0.000001,($BB24*399.376094/$B24^2.666666667)^(1/4.333333333))))</f>
      </c>
      <c r="BD24" s="14">
        <f>IF($BB24&lt;=0,0,MIN(2*PI()-0.000001,MAX(0.000001,BC24*($BB24/(($B24^2*(BC24-SIN(BC24))/8)*(($B24/4)*(1-SIN(BC24)/BC24))^0.6666666667))^(1/MAX(((BC24*(1-COS(BC24))+0.6666666667*(SIN(BC24)-BC24*COS(BC24)))/(BC24-SIN(BC24))),0.25)))))</f>
      </c>
      <c r="BE24" s="14">
        <f>IF($BB24&lt;=0,0,MIN(2*PI()-0.000001,MAX(0.000001,BD24*($BB24/(($B24^2*(BD24-SIN(BD24))/8)*(($B24/4)*(1-SIN(BD24)/BD24))^0.6666666667))^(1/MAX(((BD24*(1-COS(BD24))+0.6666666667*(SIN(BD24)-BD24*COS(BD24)))/(BD24-SIN(BD24))),0.25)))))</f>
      </c>
      <c r="BF24" s="14">
        <f>IF($BB24&lt;=0,0,MIN(2*PI()-0.000001,MAX(0.000001,BE24*($BB24/(($B24^2*(BE24-SIN(BE24))/8)*(($B24/4)*(1-SIN(BE24)/BE24))^0.6666666667))^(1/MAX(((BE24*(1-COS(BE24))+0.6666666667*(SIN(BE24)-BE24*COS(BE24)))/(BE24-SIN(BE24))),0.25)))))</f>
      </c>
      <c r="BG24" s="14">
        <f>IF($BB24&lt;=0,0,MIN(2*PI()-0.000001,MAX(0.000001,BF24*($BB24/(($B24^2*(BF24-SIN(BF24))/8)*(($B24/4)*(1-SIN(BF24)/BF24))^0.6666666667))^(1/MAX(((BF24*(1-COS(BF24))+0.6666666667*(SIN(BF24)-BF24*COS(BF24)))/(BF24-SIN(BF24))),0.25)))))</f>
      </c>
      <c r="BH24" s="14">
        <f>IF($BB24&lt;=0,0,MIN(2*PI()-0.000001,MAX(0.000001,BG24*($BB24/(($B24^2*(BG24-SIN(BG24))/8)*(($B24/4)*(1-SIN(BG24)/BG24))^0.6666666667))^(1/MAX(((BG24*(1-COS(BG24))+0.6666666667*(SIN(BG24)-BG24*COS(BG24)))/(BG24-SIN(BG24))),0.25)))))</f>
      </c>
      <c r="BI24" s="14">
        <f>IF($BB24&lt;=0,0,MIN(2*PI()-0.000001,MAX(0.000001,BH24*($BB24/(($B24^2*(BH24-SIN(BH24))/8)*(($B24/4)*(1-SIN(BH24)/BH24))^0.6666666667))^(1/MAX(((BH24*(1-COS(BH24))+0.6666666667*(SIN(BH24)-BH24*COS(BH24)))/(BH24-SIN(BH24))),0.25)))))</f>
      </c>
      <c r="BJ24" s="14">
        <f>IF($BB24&lt;=0,0,MIN(2*PI()-0.000001,MAX(0.000001,BI24*($BB24/(($B24^2*(BI24-SIN(BI24))/8)*(($B24/4)*(1-SIN(BI24)/BI24))^0.6666666667))^(1/MAX(((BI24*(1-COS(BI24))+0.6666666667*(SIN(BI24)-BI24*COS(BI24)))/(BI24-SIN(BI24))),0.25)))))</f>
      </c>
      <c r="BK24" s="14">
        <f>IF($BB24&lt;=0,0,MIN(2*PI()-0.000001,MAX(0.000001,BJ24*($BB24/(($B24^2*(BJ24-SIN(BJ24))/8)*(($B24/4)*(1-SIN(BJ24)/BJ24))^0.6666666667))^(1/MAX(((BJ24*(1-COS(BJ24))+0.6666666667*(SIN(BJ24)-BJ24*COS(BJ24)))/(BJ24-SIN(BJ24))),0.25)))))</f>
      </c>
      <c r="BL24" s="14">
        <f>IF($BB24&lt;=0,0,MIN(2*PI()-0.000001,MAX(0.000001,BK24*($BB24/(($B24^2*(BK24-SIN(BK24))/8)*(($B24/4)*(1-SIN(BK24)/BK24))^0.6666666667))^(1/MAX(((BK24*(1-COS(BK24))+0.6666666667*(SIN(BK24)-BK24*COS(BK24)))/(BK24-SIN(BK24))),0.25)))))</f>
      </c>
      <c r="BM24" s="14">
        <f>IF($BB24&lt;=0,0,MIN(2*PI()-0.000001,MAX(0.000001,BL24*($BB24/(($B24^2*(BL24-SIN(BL24))/8)*(($B24/4)*(1-SIN(BL24)/BL24))^0.6666666667))^(1/MAX(((BL24*(1-COS(BL24))+0.6666666667*(SIN(BL24)-BL24*COS(BL24)))/(BL24-SIN(BL24))),0.25)))))</f>
      </c>
      <c r="BN24" s="14">
        <f>IF($BB24&lt;=0,0,MIN(2*PI()-0.000001,MAX(0.000001,BM24*($BB24/(($B24^2*(BM24-SIN(BM24))/8)*(($B24/4)*(1-SIN(BM24)/BM24))^0.6666666667))^(1/MAX(((BM24*(1-COS(BM24))+0.6666666667*(SIN(BM24)-BM24*COS(BM24)))/(BM24-SIN(BM24))),0.25)))))</f>
      </c>
      <c r="BO24" s="14">
        <f>IF($BB24&lt;=0,0,MIN(2*PI()-0.000001,MAX(0.000001,BN24*($BB24/(($B24^2*(BN24-SIN(BN24))/8)*(($B24/4)*(1-SIN(BN24)/BN24))^0.6666666667))^(1/MAX(((BN24*(1-COS(BN24))+0.6666666667*(SIN(BN24)-BN24*COS(BN24)))/(BN24-SIN(BN24))),0.25)))))</f>
      </c>
      <c r="BP24" s="14">
        <f>IF($BB24&lt;=0,0,MIN(2*PI()-0.000001,MAX(0.000001,BO24*($BB24/(($B24^2*(BO24-SIN(BO24))/8)*(($B24/4)*(1-SIN(BO24)/BO24))^0.6666666667))^(1/MAX(((BO24*(1-COS(BO24))+0.6666666667*(SIN(BO24)-BO24*COS(BO24)))/(BO24-SIN(BO24))),0.25)))))</f>
      </c>
      <c r="BQ24" s="14">
        <f>IF($BB24&lt;=0,0,MIN(2*PI()-0.000001,MAX(0.000001,BP24*($BB24/(($B24^2*(BP24-SIN(BP24))/8)*(($B24/4)*(1-SIN(BP24)/BP24))^0.6666666667))^(1/MAX(((BP24*(1-COS(BP24))+0.6666666667*(SIN(BP24)-BP24*COS(BP24)))/(BP24-SIN(BP24))),0.25)))))</f>
      </c>
    </row>
    <row r="25">
      <c r="A25" s="18">
        <f>'Grade Calculator'!$A25</f>
      </c>
      <c r="B25" s="14">
        <f>'Grade Calculator'!$B25</f>
      </c>
      <c r="C25" s="14">
        <f>IF('Grade Calculator'!$C25&lt;=0,0,('Grade Calculator'!$C25/1000)*n_Manning/SQRT(K_sss/100))</f>
      </c>
      <c r="D25" s="14">
        <f>IF($C25&lt;=0,0,MIN(2*PI()-0.000001,MAX(0.000001,($C25*81.52230382/$B25^2.166666667)^(1/3.333333333))))</f>
      </c>
      <c r="E25" s="14">
        <f>IF($C25&lt;=0,0,MIN(2*PI()-0.000001,MAX(0.000001,D25*($C25/(($B25^2*(D25-SIN(D25))/8)*(($B25/4)*(1-SIN(D25)/D25))^0.1666666667))^(1/MAX(((D25*(1-COS(D25))+0.1666666667*(SIN(D25)-D25*COS(D25)))/(D25-SIN(D25))),0.25)))))</f>
      </c>
      <c r="F25" s="14">
        <f>IF($C25&lt;=0,0,MIN(2*PI()-0.000001,MAX(0.000001,E25*($C25/(($B25^2*(E25-SIN(E25))/8)*(($B25/4)*(1-SIN(E25)/E25))^0.1666666667))^(1/MAX(((E25*(1-COS(E25))+0.1666666667*(SIN(E25)-E25*COS(E25)))/(E25-SIN(E25))),0.25)))))</f>
      </c>
      <c r="G25" s="14">
        <f>IF($C25&lt;=0,0,MIN(2*PI()-0.000001,MAX(0.000001,F25*($C25/(($B25^2*(F25-SIN(F25))/8)*(($B25/4)*(1-SIN(F25)/F25))^0.1666666667))^(1/MAX(((F25*(1-COS(F25))+0.1666666667*(SIN(F25)-F25*COS(F25)))/(F25-SIN(F25))),0.25)))))</f>
      </c>
      <c r="H25" s="14">
        <f>IF($C25&lt;=0,0,MIN(2*PI()-0.000001,MAX(0.000001,G25*($C25/(($B25^2*(G25-SIN(G25))/8)*(($B25/4)*(1-SIN(G25)/G25))^0.1666666667))^(1/MAX(((G25*(1-COS(G25))+0.1666666667*(SIN(G25)-G25*COS(G25)))/(G25-SIN(G25))),0.25)))))</f>
      </c>
      <c r="I25" s="14">
        <f>IF($C25&lt;=0,0,MIN(2*PI()-0.000001,MAX(0.000001,H25*($C25/(($B25^2*(H25-SIN(H25))/8)*(($B25/4)*(1-SIN(H25)/H25))^0.1666666667))^(1/MAX(((H25*(1-COS(H25))+0.1666666667*(SIN(H25)-H25*COS(H25)))/(H25-SIN(H25))),0.25)))))</f>
      </c>
      <c r="J25" s="14">
        <f>IF($C25&lt;=0,0,MIN(2*PI()-0.000001,MAX(0.000001,I25*($C25/(($B25^2*(I25-SIN(I25))/8)*(($B25/4)*(1-SIN(I25)/I25))^0.1666666667))^(1/MAX(((I25*(1-COS(I25))+0.1666666667*(SIN(I25)-I25*COS(I25)))/(I25-SIN(I25))),0.25)))))</f>
      </c>
      <c r="K25" s="14">
        <f>IF($C25&lt;=0,0,MIN(2*PI()-0.000001,MAX(0.000001,J25*($C25/(($B25^2*(J25-SIN(J25))/8)*(($B25/4)*(1-SIN(J25)/J25))^0.1666666667))^(1/MAX(((J25*(1-COS(J25))+0.1666666667*(SIN(J25)-J25*COS(J25)))/(J25-SIN(J25))),0.25)))))</f>
      </c>
      <c r="L25" s="14">
        <f>IF($C25&lt;=0,0,MIN(2*PI()-0.000001,MAX(0.000001,K25*($C25/(($B25^2*(K25-SIN(K25))/8)*(($B25/4)*(1-SIN(K25)/K25))^0.1666666667))^(1/MAX(((K25*(1-COS(K25))+0.1666666667*(SIN(K25)-K25*COS(K25)))/(K25-SIN(K25))),0.25)))))</f>
      </c>
      <c r="M25" s="14">
        <f>IF($C25&lt;=0,0,MIN(2*PI()-0.000001,MAX(0.000001,L25*($C25/(($B25^2*(L25-SIN(L25))/8)*(($B25/4)*(1-SIN(L25)/L25))^0.1666666667))^(1/MAX(((L25*(1-COS(L25))+0.1666666667*(SIN(L25)-L25*COS(L25)))/(L25-SIN(L25))),0.25)))))</f>
      </c>
      <c r="N25" s="14">
        <f>IF($C25&lt;=0,0,MIN(2*PI()-0.000001,MAX(0.000001,M25*($C25/(($B25^2*(M25-SIN(M25))/8)*(($B25/4)*(1-SIN(M25)/M25))^0.1666666667))^(1/MAX(((M25*(1-COS(M25))+0.1666666667*(SIN(M25)-M25*COS(M25)))/(M25-SIN(M25))),0.25)))))</f>
      </c>
      <c r="O25" s="14">
        <f>IF($C25&lt;=0,0,MIN(2*PI()-0.000001,MAX(0.000001,N25*($C25/(($B25^2*(N25-SIN(N25))/8)*(($B25/4)*(1-SIN(N25)/N25))^0.1666666667))^(1/MAX(((N25*(1-COS(N25))+0.1666666667*(SIN(N25)-N25*COS(N25)))/(N25-SIN(N25))),0.25)))))</f>
      </c>
      <c r="P25" s="14">
        <f>IF($C25&lt;=0,0,MIN(2*PI()-0.000001,MAX(0.000001,O25*($C25/(($B25^2*(O25-SIN(O25))/8)*(($B25/4)*(1-SIN(O25)/O25))^0.1666666667))^(1/MAX(((O25*(1-COS(O25))+0.1666666667*(SIN(O25)-O25*COS(O25)))/(O25-SIN(O25))),0.25)))))</f>
      </c>
      <c r="Q25" s="14">
        <f>IF($C25&lt;=0,0,MIN(2*PI()-0.000001,MAX(0.000001,P25*($C25/(($B25^2*(P25-SIN(P25))/8)*(($B25/4)*(1-SIN(P25)/P25))^0.1666666667))^(1/MAX(((P25*(1-COS(P25))+0.1666666667*(SIN(P25)-P25*COS(P25)))/(P25-SIN(P25))),0.25)))))</f>
      </c>
      <c r="R25" s="14">
        <f>IF($C25&lt;=0,0,MIN(2*PI()-0.000001,MAX(0.000001,Q25*($C25/(($B25^2*(Q25-SIN(Q25))/8)*(($B25/4)*(1-SIN(Q25)/Q25))^0.1666666667))^(1/MAX(((Q25*(1-COS(Q25))+0.1666666667*(SIN(Q25)-Q25*COS(Q25)))/(Q25-SIN(Q25))),0.25)))))</f>
      </c>
      <c r="T25" s="14">
        <f>IF('Grade Calculator'!$K25&lt;=0,0,('Grade Calculator'!$K25/1000)*n_Manning/SQRT(K_sc/100))</f>
      </c>
      <c r="U25" s="14">
        <f>IF($T25&lt;=0,0,MIN(2*PI()-0.000001,MAX(0.000001,($T25*81.52230382/$B25^2.166666667)^(1/3.333333333))))</f>
      </c>
      <c r="V25" s="14">
        <f>IF($T25&lt;=0,0,MIN(2*PI()-0.000001,MAX(0.000001,U25*($T25/(($B25^2*(U25-SIN(U25))/8)*(($B25/4)*(1-SIN(U25)/U25))^0.1666666667))^(1/MAX(((U25*(1-COS(U25))+0.1666666667*(SIN(U25)-U25*COS(U25)))/(U25-SIN(U25))),0.25)))))</f>
      </c>
      <c r="W25" s="14">
        <f>IF($T25&lt;=0,0,MIN(2*PI()-0.000001,MAX(0.000001,V25*($T25/(($B25^2*(V25-SIN(V25))/8)*(($B25/4)*(1-SIN(V25)/V25))^0.1666666667))^(1/MAX(((V25*(1-COS(V25))+0.1666666667*(SIN(V25)-V25*COS(V25)))/(V25-SIN(V25))),0.25)))))</f>
      </c>
      <c r="X25" s="14">
        <f>IF($T25&lt;=0,0,MIN(2*PI()-0.000001,MAX(0.000001,W25*($T25/(($B25^2*(W25-SIN(W25))/8)*(($B25/4)*(1-SIN(W25)/W25))^0.1666666667))^(1/MAX(((W25*(1-COS(W25))+0.1666666667*(SIN(W25)-W25*COS(W25)))/(W25-SIN(W25))),0.25)))))</f>
      </c>
      <c r="Y25" s="14">
        <f>IF($T25&lt;=0,0,MIN(2*PI()-0.000001,MAX(0.000001,X25*($T25/(($B25^2*(X25-SIN(X25))/8)*(($B25/4)*(1-SIN(X25)/X25))^0.1666666667))^(1/MAX(((X25*(1-COS(X25))+0.1666666667*(SIN(X25)-X25*COS(X25)))/(X25-SIN(X25))),0.25)))))</f>
      </c>
      <c r="Z25" s="14">
        <f>IF($T25&lt;=0,0,MIN(2*PI()-0.000001,MAX(0.000001,Y25*($T25/(($B25^2*(Y25-SIN(Y25))/8)*(($B25/4)*(1-SIN(Y25)/Y25))^0.1666666667))^(1/MAX(((Y25*(1-COS(Y25))+0.1666666667*(SIN(Y25)-Y25*COS(Y25)))/(Y25-SIN(Y25))),0.25)))))</f>
      </c>
      <c r="AA25" s="14">
        <f>IF($T25&lt;=0,0,MIN(2*PI()-0.000001,MAX(0.000001,Z25*($T25/(($B25^2*(Z25-SIN(Z25))/8)*(($B25/4)*(1-SIN(Z25)/Z25))^0.1666666667))^(1/MAX(((Z25*(1-COS(Z25))+0.1666666667*(SIN(Z25)-Z25*COS(Z25)))/(Z25-SIN(Z25))),0.25)))))</f>
      </c>
      <c r="AB25" s="14">
        <f>IF($T25&lt;=0,0,MIN(2*PI()-0.000001,MAX(0.000001,AA25*($T25/(($B25^2*(AA25-SIN(AA25))/8)*(($B25/4)*(1-SIN(AA25)/AA25))^0.1666666667))^(1/MAX(((AA25*(1-COS(AA25))+0.1666666667*(SIN(AA25)-AA25*COS(AA25)))/(AA25-SIN(AA25))),0.25)))))</f>
      </c>
      <c r="AC25" s="14">
        <f>IF($T25&lt;=0,0,MIN(2*PI()-0.000001,MAX(0.000001,AB25*($T25/(($B25^2*(AB25-SIN(AB25))/8)*(($B25/4)*(1-SIN(AB25)/AB25))^0.1666666667))^(1/MAX(((AB25*(1-COS(AB25))+0.1666666667*(SIN(AB25)-AB25*COS(AB25)))/(AB25-SIN(AB25))),0.25)))))</f>
      </c>
      <c r="AD25" s="14">
        <f>IF($T25&lt;=0,0,MIN(2*PI()-0.000001,MAX(0.000001,AC25*($T25/(($B25^2*(AC25-SIN(AC25))/8)*(($B25/4)*(1-SIN(AC25)/AC25))^0.1666666667))^(1/MAX(((AC25*(1-COS(AC25))+0.1666666667*(SIN(AC25)-AC25*COS(AC25)))/(AC25-SIN(AC25))),0.25)))))</f>
      </c>
      <c r="AE25" s="14">
        <f>IF($T25&lt;=0,0,MIN(2*PI()-0.000001,MAX(0.000001,AD25*($T25/(($B25^2*(AD25-SIN(AD25))/8)*(($B25/4)*(1-SIN(AD25)/AD25))^0.1666666667))^(1/MAX(((AD25*(1-COS(AD25))+0.1666666667*(SIN(AD25)-AD25*COS(AD25)))/(AD25-SIN(AD25))),0.25)))))</f>
      </c>
      <c r="AF25" s="14">
        <f>IF($T25&lt;=0,0,MIN(2*PI()-0.000001,MAX(0.000001,AE25*($T25/(($B25^2*(AE25-SIN(AE25))/8)*(($B25/4)*(1-SIN(AE25)/AE25))^0.1666666667))^(1/MAX(((AE25*(1-COS(AE25))+0.1666666667*(SIN(AE25)-AE25*COS(AE25)))/(AE25-SIN(AE25))),0.25)))))</f>
      </c>
      <c r="AG25" s="14">
        <f>IF($T25&lt;=0,0,MIN(2*PI()-0.000001,MAX(0.000001,AF25*($T25/(($B25^2*(AF25-SIN(AF25))/8)*(($B25/4)*(1-SIN(AF25)/AF25))^0.1666666667))^(1/MAX(((AF25*(1-COS(AF25))+0.1666666667*(SIN(AF25)-AF25*COS(AF25)))/(AF25-SIN(AF25))),0.25)))))</f>
      </c>
      <c r="AH25" s="14">
        <f>IF($T25&lt;=0,0,MIN(2*PI()-0.000001,MAX(0.000001,AG25*($T25/(($B25^2*(AG25-SIN(AG25))/8)*(($B25/4)*(1-SIN(AG25)/AG25))^0.1666666667))^(1/MAX(((AG25*(1-COS(AG25))+0.1666666667*(SIN(AG25)-AG25*COS(AG25)))/(AG25-SIN(AG25))),0.25)))))</f>
      </c>
      <c r="AI25" s="14">
        <f>IF($T25&lt;=0,0,MIN(2*PI()-0.000001,MAX(0.000001,AH25*($T25/(($B25^2*(AH25-SIN(AH25))/8)*(($B25/4)*(1-SIN(AH25)/AH25))^0.1666666667))^(1/MAX(((AH25*(1-COS(AH25))+0.1666666667*(SIN(AH25)-AH25*COS(AH25)))/(AH25-SIN(AH25))),0.25)))))</f>
      </c>
      <c r="AK25" s="14">
        <f>IF(PDWF_L_s&lt;=0,0,(PDWF_L_s/1000)/V_max)</f>
      </c>
      <c r="AL25" s="14">
        <f>IF($AK25&lt;=0,0,MIN(2*PI()-0.000001,MAX(0.000001,($AK25*48/$B25^2)^(1/3))))</f>
      </c>
      <c r="AM25" s="14">
        <f>IF($AK25&lt;=0,0,MIN(2*PI()-0.000001,MAX(0.000001,AL25*($AK25/($B25^2*(AL25-SIN(AL25))/8))^(1/MAX((AL25*(1-COS(AL25))/(AL25-SIN(AL25))),0.25)))))</f>
      </c>
      <c r="AN25" s="14">
        <f>IF($AK25&lt;=0,0,MIN(2*PI()-0.000001,MAX(0.000001,AM25*($AK25/($B25^2*(AM25-SIN(AM25))/8))^(1/MAX((AM25*(1-COS(AM25))/(AM25-SIN(AM25))),0.25)))))</f>
      </c>
      <c r="AO25" s="14">
        <f>IF($AK25&lt;=0,0,MIN(2*PI()-0.000001,MAX(0.000001,AN25*($AK25/($B25^2*(AN25-SIN(AN25))/8))^(1/MAX((AN25*(1-COS(AN25))/(AN25-SIN(AN25))),0.25)))))</f>
      </c>
      <c r="AP25" s="14">
        <f>IF($AK25&lt;=0,0,MIN(2*PI()-0.000001,MAX(0.000001,AO25*($AK25/($B25^2*(AO25-SIN(AO25))/8))^(1/MAX((AO25*(1-COS(AO25))/(AO25-SIN(AO25))),0.25)))))</f>
      </c>
      <c r="AQ25" s="14">
        <f>IF($AK25&lt;=0,0,MIN(2*PI()-0.000001,MAX(0.000001,AP25*($AK25/($B25^2*(AP25-SIN(AP25))/8))^(1/MAX((AP25*(1-COS(AP25))/(AP25-SIN(AP25))),0.25)))))</f>
      </c>
      <c r="AR25" s="14">
        <f>IF($AK25&lt;=0,0,MIN(2*PI()-0.000001,MAX(0.000001,AQ25*($AK25/($B25^2*(AQ25-SIN(AQ25))/8))^(1/MAX((AQ25*(1-COS(AQ25))/(AQ25-SIN(AQ25))),0.25)))))</f>
      </c>
      <c r="AS25" s="14">
        <f>IF($AK25&lt;=0,0,MIN(2*PI()-0.000001,MAX(0.000001,AR25*($AK25/($B25^2*(AR25-SIN(AR25))/8))^(1/MAX((AR25*(1-COS(AR25))/(AR25-SIN(AR25))),0.25)))))</f>
      </c>
      <c r="AT25" s="14">
        <f>IF($AK25&lt;=0,0,MIN(2*PI()-0.000001,MAX(0.000001,AS25*($AK25/($B25^2*(AS25-SIN(AS25))/8))^(1/MAX((AS25*(1-COS(AS25))/(AS25-SIN(AS25))),0.25)))))</f>
      </c>
      <c r="AU25" s="14">
        <f>IF($AK25&lt;=0,0,MIN(2*PI()-0.000001,MAX(0.000001,AT25*($AK25/($B25^2*(AT25-SIN(AT25))/8))^(1/MAX((AT25*(1-COS(AT25))/(AT25-SIN(AT25))),0.25)))))</f>
      </c>
      <c r="AV25" s="14">
        <f>IF($AK25&lt;=0,0,MIN(2*PI()-0.000001,MAX(0.000001,AU25*($AK25/($B25^2*(AU25-SIN(AU25))/8))^(1/MAX((AU25*(1-COS(AU25))/(AU25-SIN(AU25))),0.25)))))</f>
      </c>
      <c r="AW25" s="14">
        <f>IF($AK25&lt;=0,0,MIN(2*PI()-0.000001,MAX(0.000001,AV25*($AK25/($B25^2*(AV25-SIN(AV25))/8))^(1/MAX((AV25*(1-COS(AV25))/(AV25-SIN(AV25))),0.25)))))</f>
      </c>
      <c r="AX25" s="14">
        <f>IF($AK25&lt;=0,0,MIN(2*PI()-0.000001,MAX(0.000001,AW25*($AK25/($B25^2*(AW25-SIN(AW25))/8))^(1/MAX((AW25*(1-COS(AW25))/(AW25-SIN(AW25))),0.25)))))</f>
      </c>
      <c r="AY25" s="14">
        <f>IF($AK25&lt;=0,0,MIN(2*PI()-0.000001,MAX(0.000001,AX25*($AK25/($B25^2*(AX25-SIN(AX25))/8))^(1/MAX((AX25*(1-COS(AX25))/(AX25-SIN(AX25))),0.25)))))</f>
      </c>
      <c r="AZ25" s="14">
        <f>IF($AK25&lt;=0,0,MIN(2*PI()-0.000001,MAX(0.000001,AY25*($AK25/($B25^2*(AY25-SIN(AY25))/8))^(1/MAX((AY25*(1-COS(AY25))/(AY25-SIN(AY25))),0.25)))))</f>
      </c>
      <c r="BB25" s="14">
        <f>IF(OR(PWWF_L_s&lt;=0,'Grade Calculator'!$R25&lt;=0),0,(PWWF_L_s/1000)*n_Manning/SQRT('Grade Calculator'!$R25/100))</f>
      </c>
      <c r="BC25" s="14">
        <f>IF($BB25&lt;=0,0,MIN(2*PI()-0.000001,MAX(0.000001,($BB25*399.376094/$B25^2.666666667)^(1/4.333333333))))</f>
      </c>
      <c r="BD25" s="14">
        <f>IF($BB25&lt;=0,0,MIN(2*PI()-0.000001,MAX(0.000001,BC25*($BB25/(($B25^2*(BC25-SIN(BC25))/8)*(($B25/4)*(1-SIN(BC25)/BC25))^0.6666666667))^(1/MAX(((BC25*(1-COS(BC25))+0.6666666667*(SIN(BC25)-BC25*COS(BC25)))/(BC25-SIN(BC25))),0.25)))))</f>
      </c>
      <c r="BE25" s="14">
        <f>IF($BB25&lt;=0,0,MIN(2*PI()-0.000001,MAX(0.000001,BD25*($BB25/(($B25^2*(BD25-SIN(BD25))/8)*(($B25/4)*(1-SIN(BD25)/BD25))^0.6666666667))^(1/MAX(((BD25*(1-COS(BD25))+0.6666666667*(SIN(BD25)-BD25*COS(BD25)))/(BD25-SIN(BD25))),0.25)))))</f>
      </c>
      <c r="BF25" s="14">
        <f>IF($BB25&lt;=0,0,MIN(2*PI()-0.000001,MAX(0.000001,BE25*($BB25/(($B25^2*(BE25-SIN(BE25))/8)*(($B25/4)*(1-SIN(BE25)/BE25))^0.6666666667))^(1/MAX(((BE25*(1-COS(BE25))+0.6666666667*(SIN(BE25)-BE25*COS(BE25)))/(BE25-SIN(BE25))),0.25)))))</f>
      </c>
      <c r="BG25" s="14">
        <f>IF($BB25&lt;=0,0,MIN(2*PI()-0.000001,MAX(0.000001,BF25*($BB25/(($B25^2*(BF25-SIN(BF25))/8)*(($B25/4)*(1-SIN(BF25)/BF25))^0.6666666667))^(1/MAX(((BF25*(1-COS(BF25))+0.6666666667*(SIN(BF25)-BF25*COS(BF25)))/(BF25-SIN(BF25))),0.25)))))</f>
      </c>
      <c r="BH25" s="14">
        <f>IF($BB25&lt;=0,0,MIN(2*PI()-0.000001,MAX(0.000001,BG25*($BB25/(($B25^2*(BG25-SIN(BG25))/8)*(($B25/4)*(1-SIN(BG25)/BG25))^0.6666666667))^(1/MAX(((BG25*(1-COS(BG25))+0.6666666667*(SIN(BG25)-BG25*COS(BG25)))/(BG25-SIN(BG25))),0.25)))))</f>
      </c>
      <c r="BI25" s="14">
        <f>IF($BB25&lt;=0,0,MIN(2*PI()-0.000001,MAX(0.000001,BH25*($BB25/(($B25^2*(BH25-SIN(BH25))/8)*(($B25/4)*(1-SIN(BH25)/BH25))^0.6666666667))^(1/MAX(((BH25*(1-COS(BH25))+0.6666666667*(SIN(BH25)-BH25*COS(BH25)))/(BH25-SIN(BH25))),0.25)))))</f>
      </c>
      <c r="BJ25" s="14">
        <f>IF($BB25&lt;=0,0,MIN(2*PI()-0.000001,MAX(0.000001,BI25*($BB25/(($B25^2*(BI25-SIN(BI25))/8)*(($B25/4)*(1-SIN(BI25)/BI25))^0.6666666667))^(1/MAX(((BI25*(1-COS(BI25))+0.6666666667*(SIN(BI25)-BI25*COS(BI25)))/(BI25-SIN(BI25))),0.25)))))</f>
      </c>
      <c r="BK25" s="14">
        <f>IF($BB25&lt;=0,0,MIN(2*PI()-0.000001,MAX(0.000001,BJ25*($BB25/(($B25^2*(BJ25-SIN(BJ25))/8)*(($B25/4)*(1-SIN(BJ25)/BJ25))^0.6666666667))^(1/MAX(((BJ25*(1-COS(BJ25))+0.6666666667*(SIN(BJ25)-BJ25*COS(BJ25)))/(BJ25-SIN(BJ25))),0.25)))))</f>
      </c>
      <c r="BL25" s="14">
        <f>IF($BB25&lt;=0,0,MIN(2*PI()-0.000001,MAX(0.000001,BK25*($BB25/(($B25^2*(BK25-SIN(BK25))/8)*(($B25/4)*(1-SIN(BK25)/BK25))^0.6666666667))^(1/MAX(((BK25*(1-COS(BK25))+0.6666666667*(SIN(BK25)-BK25*COS(BK25)))/(BK25-SIN(BK25))),0.25)))))</f>
      </c>
      <c r="BM25" s="14">
        <f>IF($BB25&lt;=0,0,MIN(2*PI()-0.000001,MAX(0.000001,BL25*($BB25/(($B25^2*(BL25-SIN(BL25))/8)*(($B25/4)*(1-SIN(BL25)/BL25))^0.6666666667))^(1/MAX(((BL25*(1-COS(BL25))+0.6666666667*(SIN(BL25)-BL25*COS(BL25)))/(BL25-SIN(BL25))),0.25)))))</f>
      </c>
      <c r="BN25" s="14">
        <f>IF($BB25&lt;=0,0,MIN(2*PI()-0.000001,MAX(0.000001,BM25*($BB25/(($B25^2*(BM25-SIN(BM25))/8)*(($B25/4)*(1-SIN(BM25)/BM25))^0.6666666667))^(1/MAX(((BM25*(1-COS(BM25))+0.6666666667*(SIN(BM25)-BM25*COS(BM25)))/(BM25-SIN(BM25))),0.25)))))</f>
      </c>
      <c r="BO25" s="14">
        <f>IF($BB25&lt;=0,0,MIN(2*PI()-0.000001,MAX(0.000001,BN25*($BB25/(($B25^2*(BN25-SIN(BN25))/8)*(($B25/4)*(1-SIN(BN25)/BN25))^0.6666666667))^(1/MAX(((BN25*(1-COS(BN25))+0.6666666667*(SIN(BN25)-BN25*COS(BN25)))/(BN25-SIN(BN25))),0.25)))))</f>
      </c>
      <c r="BP25" s="14">
        <f>IF($BB25&lt;=0,0,MIN(2*PI()-0.000001,MAX(0.000001,BO25*($BB25/(($B25^2*(BO25-SIN(BO25))/8)*(($B25/4)*(1-SIN(BO25)/BO25))^0.6666666667))^(1/MAX(((BO25*(1-COS(BO25))+0.6666666667*(SIN(BO25)-BO25*COS(BO25)))/(BO25-SIN(BO25))),0.25)))))</f>
      </c>
      <c r="BQ25" s="14">
        <f>IF($BB25&lt;=0,0,MIN(2*PI()-0.000001,MAX(0.000001,BP25*($BB25/(($B25^2*(BP25-SIN(BP25))/8)*(($B25/4)*(1-SIN(BP25)/BP25))^0.6666666667))^(1/MAX(((BP25*(1-COS(BP25))+0.6666666667*(SIN(BP25)-BP25*COS(BP25)))/(BP25-SIN(BP25))),0.25)))))</f>
      </c>
    </row>
    <row r="27">
      <c r="A27" s="20" t="inlineStr">
        <is>
          <t xml:space="preserve">Reverse: theta from Rp = K/S (grade known)</t>
        </is>
      </c>
    </row>
    <row r="28">
      <c r="A28" s="18" t="inlineStr">
        <is>
          <t xml:space="preserve">Sss</t>
        </is>
      </c>
      <c r="B28" s="14">
        <f>IF('Grade Calculator'!$J$5="","",INDEX('Grade Calculator'!$B$16:$B$25,MATCH('Grade Calculator'!$J$5,'Grade Calculator'!$A$16:$A$25,0)))</f>
      </c>
      <c r="C28" s="14">
        <f>IF(OR('Grade Calculator'!$J$6&lt;=0,B28=""),0,K_sss/'Grade Calculator'!$J$6)</f>
      </c>
      <c r="D28" s="14">
        <f>IF(OR($C28&lt;=0,$C28&gt;$B28/4),0,MIN(2*PI()-0.000001,MAX(0.000001,SQRT(24*$C28/$B28))))</f>
      </c>
      <c r="E28" s="14">
        <f>IF(OR($C28&lt;=0,$C28&gt;$B28/4),0,MIN(2*PI()-0.000001,MAX(0.000001,D28*($C28/(($B28/4)*(1-SIN(D28)/D28)))^(1/MAX((D28/(($B28/4)*(1-SIN(D28)/D28))*(($B28/4)*(SIN(D28)-D28*COS(D28))/D28^2)),0.25)))))</f>
      </c>
      <c r="F28" s="14">
        <f>IF(OR($C28&lt;=0,$C28&gt;$B28/4),0,MIN(2*PI()-0.000001,MAX(0.000001,E28*($C28/(($B28/4)*(1-SIN(E28)/E28)))^(1/MAX((E28/(($B28/4)*(1-SIN(E28)/E28))*(($B28/4)*(SIN(E28)-E28*COS(E28))/E28^2)),0.25)))))</f>
      </c>
      <c r="G28" s="14">
        <f>IF(OR($C28&lt;=0,$C28&gt;$B28/4),0,MIN(2*PI()-0.000001,MAX(0.000001,F28*($C28/(($B28/4)*(1-SIN(F28)/F28)))^(1/MAX((F28/(($B28/4)*(1-SIN(F28)/F28))*(($B28/4)*(SIN(F28)-F28*COS(F28))/F28^2)),0.25)))))</f>
      </c>
      <c r="H28" s="14">
        <f>IF(OR($C28&lt;=0,$C28&gt;$B28/4),0,MIN(2*PI()-0.000001,MAX(0.000001,G28*($C28/(($B28/4)*(1-SIN(G28)/G28)))^(1/MAX((G28/(($B28/4)*(1-SIN(G28)/G28))*(($B28/4)*(SIN(G28)-G28*COS(G28))/G28^2)),0.25)))))</f>
      </c>
      <c r="I28" s="14">
        <f>IF(OR($C28&lt;=0,$C28&gt;$B28/4),0,MIN(2*PI()-0.000001,MAX(0.000001,H28*($C28/(($B28/4)*(1-SIN(H28)/H28)))^(1/MAX((H28/(($B28/4)*(1-SIN(H28)/H28))*(($B28/4)*(SIN(H28)-H28*COS(H28))/H28^2)),0.25)))))</f>
      </c>
      <c r="J28" s="14">
        <f>IF(OR($C28&lt;=0,$C28&gt;$B28/4),0,MIN(2*PI()-0.000001,MAX(0.000001,I28*($C28/(($B28/4)*(1-SIN(I28)/I28)))^(1/MAX((I28/(($B28/4)*(1-SIN(I28)/I28))*(($B28/4)*(SIN(I28)-I28*COS(I28))/I28^2)),0.25)))))</f>
      </c>
      <c r="K28" s="14">
        <f>IF(OR($C28&lt;=0,$C28&gt;$B28/4),0,MIN(2*PI()-0.000001,MAX(0.000001,J28*($C28/(($B28/4)*(1-SIN(J28)/J28)))^(1/MAX((J28/(($B28/4)*(1-SIN(J28)/J28))*(($B28/4)*(SIN(J28)-J28*COS(J28))/J28^2)),0.25)))))</f>
      </c>
      <c r="L28" s="14">
        <f>IF(OR($C28&lt;=0,$C28&gt;$B28/4),0,MIN(2*PI()-0.000001,MAX(0.000001,K28*($C28/(($B28/4)*(1-SIN(K28)/K28)))^(1/MAX((K28/(($B28/4)*(1-SIN(K28)/K28))*(($B28/4)*(SIN(K28)-K28*COS(K28))/K28^2)),0.25)))))</f>
      </c>
      <c r="M28" s="14">
        <f>IF(OR($C28&lt;=0,$C28&gt;$B28/4),0,MIN(2*PI()-0.000001,MAX(0.000001,L28*($C28/(($B28/4)*(1-SIN(L28)/L28)))^(1/MAX((L28/(($B28/4)*(1-SIN(L28)/L28))*(($B28/4)*(SIN(L28)-L28*COS(L28))/L28^2)),0.25)))))</f>
      </c>
      <c r="N28" s="14">
        <f>IF(OR($C28&lt;=0,$C28&gt;$B28/4),0,MIN(2*PI()-0.000001,MAX(0.000001,M28*($C28/(($B28/4)*(1-SIN(M28)/M28)))^(1/MAX((M28/(($B28/4)*(1-SIN(M28)/M28))*(($B28/4)*(SIN(M28)-M28*COS(M28))/M28^2)),0.25)))))</f>
      </c>
      <c r="O28" s="14">
        <f>IF(OR($C28&lt;=0,$C28&gt;$B28/4),0,MIN(2*PI()-0.000001,MAX(0.000001,N28*($C28/(($B28/4)*(1-SIN(N28)/N28)))^(1/MAX((N28/(($B28/4)*(1-SIN(N28)/N28))*(($B28/4)*(SIN(N28)-N28*COS(N28))/N28^2)),0.25)))))</f>
      </c>
      <c r="P28" s="14">
        <f>IF(OR($C28&lt;=0,$C28&gt;$B28/4),0,MIN(2*PI()-0.000001,MAX(0.000001,O28*($C28/(($B28/4)*(1-SIN(O28)/O28)))^(1/MAX((O28/(($B28/4)*(1-SIN(O28)/O28))*(($B28/4)*(SIN(O28)-O28*COS(O28))/O28^2)),0.25)))))</f>
      </c>
      <c r="Q28" s="14">
        <f>IF(OR($C28&lt;=0,$C28&gt;$B28/4),0,MIN(2*PI()-0.000001,MAX(0.000001,P28*($C28/(($B28/4)*(1-SIN(P28)/P28)))^(1/MAX((P28/(($B28/4)*(1-SIN(P28)/P28))*(($B28/4)*(SIN(P28)-P28*COS(P28))/P28^2)),0.25)))))</f>
      </c>
      <c r="R28" s="14">
        <f>IF(OR($C28&lt;=0,$C28&gt;$B28/4),0,MIN(2*PI()-0.000001,MAX(0.000001,Q28*($C28/(($B28/4)*(1-SIN(Q28)/Q28)))^(1/MAX((Q28/(($B28/4)*(1-SIN(Q28)/Q28))*(($B28/4)*(SIN(Q28)-Q28*COS(Q28))/Q28^2)),0.25)))))</f>
      </c>
    </row>
    <row r="29">
      <c r="A29" s="18" t="inlineStr">
        <is>
          <t xml:space="preserve">Ssc</t>
        </is>
      </c>
      <c r="B29" s="14">
        <f>IF('Grade Calculator'!$J$5="","",INDEX('Grade Calculator'!$B$16:$B$25,MATCH('Grade Calculator'!$J$5,'Grade Calculator'!$A$16:$A$25,0)))</f>
      </c>
      <c r="C29" s="14">
        <f>IF(OR('Grade Calculator'!$J$6&lt;=0,B29=""),0,K_sc/'Grade Calculator'!$J$6)</f>
      </c>
      <c r="D29" s="14">
        <f>IF(OR($C29&lt;=0,$C29&gt;$B29/4),0,MIN(2*PI()-0.000001,MAX(0.000001,SQRT(24*$C29/$B29))))</f>
      </c>
      <c r="E29" s="14">
        <f>IF(OR($C29&lt;=0,$C29&gt;$B29/4),0,MIN(2*PI()-0.000001,MAX(0.000001,D29*($C29/(($B29/4)*(1-SIN(D29)/D29)))^(1/MAX((D29/(($B29/4)*(1-SIN(D29)/D29))*(($B29/4)*(SIN(D29)-D29*COS(D29))/D29^2)),0.25)))))</f>
      </c>
      <c r="F29" s="14">
        <f>IF(OR($C29&lt;=0,$C29&gt;$B29/4),0,MIN(2*PI()-0.000001,MAX(0.000001,E29*($C29/(($B29/4)*(1-SIN(E29)/E29)))^(1/MAX((E29/(($B29/4)*(1-SIN(E29)/E29))*(($B29/4)*(SIN(E29)-E29*COS(E29))/E29^2)),0.25)))))</f>
      </c>
      <c r="G29" s="14">
        <f>IF(OR($C29&lt;=0,$C29&gt;$B29/4),0,MIN(2*PI()-0.000001,MAX(0.000001,F29*($C29/(($B29/4)*(1-SIN(F29)/F29)))^(1/MAX((F29/(($B29/4)*(1-SIN(F29)/F29))*(($B29/4)*(SIN(F29)-F29*COS(F29))/F29^2)),0.25)))))</f>
      </c>
      <c r="H29" s="14">
        <f>IF(OR($C29&lt;=0,$C29&gt;$B29/4),0,MIN(2*PI()-0.000001,MAX(0.000001,G29*($C29/(($B29/4)*(1-SIN(G29)/G29)))^(1/MAX((G29/(($B29/4)*(1-SIN(G29)/G29))*(($B29/4)*(SIN(G29)-G29*COS(G29))/G29^2)),0.25)))))</f>
      </c>
      <c r="I29" s="14">
        <f>IF(OR($C29&lt;=0,$C29&gt;$B29/4),0,MIN(2*PI()-0.000001,MAX(0.000001,H29*($C29/(($B29/4)*(1-SIN(H29)/H29)))^(1/MAX((H29/(($B29/4)*(1-SIN(H29)/H29))*(($B29/4)*(SIN(H29)-H29*COS(H29))/H29^2)),0.25)))))</f>
      </c>
      <c r="J29" s="14">
        <f>IF(OR($C29&lt;=0,$C29&gt;$B29/4),0,MIN(2*PI()-0.000001,MAX(0.000001,I29*($C29/(($B29/4)*(1-SIN(I29)/I29)))^(1/MAX((I29/(($B29/4)*(1-SIN(I29)/I29))*(($B29/4)*(SIN(I29)-I29*COS(I29))/I29^2)),0.25)))))</f>
      </c>
      <c r="K29" s="14">
        <f>IF(OR($C29&lt;=0,$C29&gt;$B29/4),0,MIN(2*PI()-0.000001,MAX(0.000001,J29*($C29/(($B29/4)*(1-SIN(J29)/J29)))^(1/MAX((J29/(($B29/4)*(1-SIN(J29)/J29))*(($B29/4)*(SIN(J29)-J29*COS(J29))/J29^2)),0.25)))))</f>
      </c>
      <c r="L29" s="14">
        <f>IF(OR($C29&lt;=0,$C29&gt;$B29/4),0,MIN(2*PI()-0.000001,MAX(0.000001,K29*($C29/(($B29/4)*(1-SIN(K29)/K29)))^(1/MAX((K29/(($B29/4)*(1-SIN(K29)/K29))*(($B29/4)*(SIN(K29)-K29*COS(K29))/K29^2)),0.25)))))</f>
      </c>
      <c r="M29" s="14">
        <f>IF(OR($C29&lt;=0,$C29&gt;$B29/4),0,MIN(2*PI()-0.000001,MAX(0.000001,L29*($C29/(($B29/4)*(1-SIN(L29)/L29)))^(1/MAX((L29/(($B29/4)*(1-SIN(L29)/L29))*(($B29/4)*(SIN(L29)-L29*COS(L29))/L29^2)),0.25)))))</f>
      </c>
      <c r="N29" s="14">
        <f>IF(OR($C29&lt;=0,$C29&gt;$B29/4),0,MIN(2*PI()-0.000001,MAX(0.000001,M29*($C29/(($B29/4)*(1-SIN(M29)/M29)))^(1/MAX((M29/(($B29/4)*(1-SIN(M29)/M29))*(($B29/4)*(SIN(M29)-M29*COS(M29))/M29^2)),0.25)))))</f>
      </c>
      <c r="O29" s="14">
        <f>IF(OR($C29&lt;=0,$C29&gt;$B29/4),0,MIN(2*PI()-0.000001,MAX(0.000001,N29*($C29/(($B29/4)*(1-SIN(N29)/N29)))^(1/MAX((N29/(($B29/4)*(1-SIN(N29)/N29))*(($B29/4)*(SIN(N29)-N29*COS(N29))/N29^2)),0.25)))))</f>
      </c>
      <c r="P29" s="14">
        <f>IF(OR($C29&lt;=0,$C29&gt;$B29/4),0,MIN(2*PI()-0.000001,MAX(0.000001,O29*($C29/(($B29/4)*(1-SIN(O29)/O29)))^(1/MAX((O29/(($B29/4)*(1-SIN(O29)/O29))*(($B29/4)*(SIN(O29)-O29*COS(O29))/O29^2)),0.25)))))</f>
      </c>
      <c r="Q29" s="14">
        <f>IF(OR($C29&lt;=0,$C29&gt;$B29/4),0,MIN(2*PI()-0.000001,MAX(0.000001,P29*($C29/(($B29/4)*(1-SIN(P29)/P29)))^(1/MAX((P29/(($B29/4)*(1-SIN(P29)/P29))*(($B29/4)*(SIN(P29)-P29*COS(P29))/P29^2)),0.25)))))</f>
      </c>
      <c r="R29" s="14">
        <f>IF(OR($C29&lt;=0,$C29&gt;$B29/4),0,MIN(2*PI()-0.000001,MAX(0.000001,Q29*($C29/(($B29/4)*(1-SIN(Q29)/Q29)))^(1/MAX((Q29/(($B29/4)*(1-SIN(Q29)/Q29))*(($B29/4)*(SIN(Q29)-Q29*COS(Q29))/Q29^2)),0.25)))))</f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213"/>
  <sheetViews>
    <sheetView workbookViewId="0">
      <pane xSplit="3" ySplit="4" topLeftCell="D5" activePane="bottomRight" state="frozen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</cols>
  <sheetData>
    <row r="1">
      <c r="A1" s="6" t="inlineStr">
        <is>
          <t xml:space="preserve">Reverse-direction design table: choose pipe size and depth ratio -&gt; the flow that satisfies each criterion and the corresponding grade (no iteration at all)</t>
        </is>
      </c>
    </row>
    <row r="2">
      <c r="A2" s="5" t="inlineStr">
        <is>
          <t xml:space="preserve">For a given DN and y/D: Q75 is the flow for which that depth gives exactly Sss = K_sss/Rp under Manning; PDWF(Sss) = Q75/f_sss. Qsc / Ssc likewise with K_sc. q* = Q n / (sqrt(K_sss/100) D^(13/6)) is dimensionless and identical for every DN, so one curve covers all diameters.</t>
        </is>
      </c>
    </row>
    <row r="4">
      <c r="A4" s="2" t="inlineStr">
        <is>
          <t xml:space="preserve">DN</t>
        </is>
      </c>
      <c r="B4" s="2" t="inlineStr">
        <is>
          <t xml:space="preserve">D (m)</t>
        </is>
      </c>
      <c r="C4" s="2" t="inlineStr">
        <is>
          <t xml:space="preserve">y/D</t>
        </is>
      </c>
      <c r="D4" s="2" t="inlineStr">
        <is>
          <t xml:space="preserve">theta (rad)</t>
        </is>
      </c>
      <c r="E4" s="2" t="inlineStr">
        <is>
          <t xml:space="preserve">A (m2)</t>
        </is>
      </c>
      <c r="F4" s="2" t="inlineStr">
        <is>
          <t xml:space="preserve">P (m)</t>
        </is>
      </c>
      <c r="G4" s="2" t="inlineStr">
        <is>
          <t xml:space="preserve">Rp (m)</t>
        </is>
      </c>
      <c r="H4" s="2" t="inlineStr">
        <is>
          <t xml:space="preserve">Q75 for Sss (L/s)</t>
        </is>
      </c>
      <c r="I4" s="2" t="inlineStr">
        <is>
          <t xml:space="preserve">PDWF (Sss basis) (L/s)</t>
        </is>
      </c>
      <c r="J4" s="2" t="inlineStr">
        <is>
          <t xml:space="preserve">Sss (%)</t>
        </is>
      </c>
      <c r="K4" s="2" t="inlineStr">
        <is>
          <t xml:space="preserve">Sss (1 in)</t>
        </is>
      </c>
      <c r="L4" s="2" t="inlineStr">
        <is>
          <t xml:space="preserve">V at Q75 (m/s)</t>
        </is>
      </c>
      <c r="M4" s="2" t="inlineStr">
        <is>
          <t xml:space="preserve">q* (dimensionless)</t>
        </is>
      </c>
      <c r="N4" s="2" t="inlineStr">
        <is>
          <t xml:space="preserve">Qsc for Ssc (L/s)</t>
        </is>
      </c>
      <c r="O4" s="2" t="inlineStr">
        <is>
          <t xml:space="preserve">PDWF (Ssc basis) (L/s)</t>
        </is>
      </c>
      <c r="P4" s="2" t="inlineStr">
        <is>
          <t xml:space="preserve">Ssc (%)</t>
        </is>
      </c>
    </row>
    <row r="5">
      <c r="A5" s="18">
        <v>150.0</v>
      </c>
      <c r="B5" s="13">
        <f>A5/1000</f>
      </c>
      <c r="C5" s="16">
        <v>0.05</v>
      </c>
      <c r="D5" s="14">
        <f>2*ACOS(1-2*C5)</f>
      </c>
      <c r="E5" s="9">
        <f>B5^2*(D5-SIN(D5))/8</f>
      </c>
      <c r="F5" s="9">
        <f>B5*D5/2</f>
      </c>
      <c r="G5" s="9">
        <f>E5/F5</f>
      </c>
      <c r="H5" s="10">
        <f>(1/n_Manning)*SQRT(K_sss/100)*E5*G5^(1/6)*1000</f>
      </c>
      <c r="I5" s="10">
        <f>H5/f_sss</f>
      </c>
      <c r="J5" s="8">
        <f>K_sss/G5</f>
      </c>
      <c r="K5" s="12">
        <f>100/J5</f>
      </c>
      <c r="L5" s="10">
        <f>(H5/1000)/E5</f>
      </c>
      <c r="M5" s="9">
        <f>(H5/1000)*n_Manning/SQRT(K_sss/100)/B5^(13/6)</f>
      </c>
      <c r="N5" s="10">
        <f>(1/n_Manning)*SQRT(K_sc/100)*E5*G5^(1/6)*1000</f>
      </c>
      <c r="O5" s="10">
        <f>N5/f_sc</f>
      </c>
      <c r="P5" s="8">
        <f>K_sc/G5</f>
      </c>
    </row>
    <row r="6">
      <c r="A6" s="18">
        <v>150.0</v>
      </c>
      <c r="B6" s="13">
        <f>A6/1000</f>
      </c>
      <c r="C6" s="16">
        <v>0.1</v>
      </c>
      <c r="D6" s="14">
        <f>2*ACOS(1-2*C6)</f>
      </c>
      <c r="E6" s="9">
        <f>B6^2*(D6-SIN(D6))/8</f>
      </c>
      <c r="F6" s="9">
        <f>B6*D6/2</f>
      </c>
      <c r="G6" s="9">
        <f>E6/F6</f>
      </c>
      <c r="H6" s="10">
        <f>(1/n_Manning)*SQRT(K_sss/100)*E6*G6^(1/6)*1000</f>
      </c>
      <c r="I6" s="10">
        <f>H6/f_sss</f>
      </c>
      <c r="J6" s="8">
        <f>K_sss/G6</f>
      </c>
      <c r="K6" s="12">
        <f>100/J6</f>
      </c>
      <c r="L6" s="10">
        <f>(H6/1000)/E6</f>
      </c>
      <c r="M6" s="9">
        <f>(H6/1000)*n_Manning/SQRT(K_sss/100)/B6^(13/6)</f>
      </c>
      <c r="N6" s="10">
        <f>(1/n_Manning)*SQRT(K_sc/100)*E6*G6^(1/6)*1000</f>
      </c>
      <c r="O6" s="10">
        <f>N6/f_sc</f>
      </c>
      <c r="P6" s="8">
        <f>K_sc/G6</f>
      </c>
    </row>
    <row r="7">
      <c r="A7" s="18">
        <v>150.0</v>
      </c>
      <c r="B7" s="13">
        <f>A7/1000</f>
      </c>
      <c r="C7" s="16">
        <v>0.15</v>
      </c>
      <c r="D7" s="14">
        <f>2*ACOS(1-2*C7)</f>
      </c>
      <c r="E7" s="9">
        <f>B7^2*(D7-SIN(D7))/8</f>
      </c>
      <c r="F7" s="9">
        <f>B7*D7/2</f>
      </c>
      <c r="G7" s="9">
        <f>E7/F7</f>
      </c>
      <c r="H7" s="10">
        <f>(1/n_Manning)*SQRT(K_sss/100)*E7*G7^(1/6)*1000</f>
      </c>
      <c r="I7" s="10">
        <f>H7/f_sss</f>
      </c>
      <c r="J7" s="8">
        <f>K_sss/G7</f>
      </c>
      <c r="K7" s="12">
        <f>100/J7</f>
      </c>
      <c r="L7" s="10">
        <f>(H7/1000)/E7</f>
      </c>
      <c r="M7" s="9">
        <f>(H7/1000)*n_Manning/SQRT(K_sss/100)/B7^(13/6)</f>
      </c>
      <c r="N7" s="10">
        <f>(1/n_Manning)*SQRT(K_sc/100)*E7*G7^(1/6)*1000</f>
      </c>
      <c r="O7" s="10">
        <f>N7/f_sc</f>
      </c>
      <c r="P7" s="8">
        <f>K_sc/G7</f>
      </c>
    </row>
    <row r="8">
      <c r="A8" s="18">
        <v>150.0</v>
      </c>
      <c r="B8" s="13">
        <f>A8/1000</f>
      </c>
      <c r="C8" s="16">
        <v>0.2</v>
      </c>
      <c r="D8" s="14">
        <f>2*ACOS(1-2*C8)</f>
      </c>
      <c r="E8" s="9">
        <f>B8^2*(D8-SIN(D8))/8</f>
      </c>
      <c r="F8" s="9">
        <f>B8*D8/2</f>
      </c>
      <c r="G8" s="9">
        <f>E8/F8</f>
      </c>
      <c r="H8" s="10">
        <f>(1/n_Manning)*SQRT(K_sss/100)*E8*G8^(1/6)*1000</f>
      </c>
      <c r="I8" s="10">
        <f>H8/f_sss</f>
      </c>
      <c r="J8" s="8">
        <f>K_sss/G8</f>
      </c>
      <c r="K8" s="12">
        <f>100/J8</f>
      </c>
      <c r="L8" s="10">
        <f>(H8/1000)/E8</f>
      </c>
      <c r="M8" s="9">
        <f>(H8/1000)*n_Manning/SQRT(K_sss/100)/B8^(13/6)</f>
      </c>
      <c r="N8" s="10">
        <f>(1/n_Manning)*SQRT(K_sc/100)*E8*G8^(1/6)*1000</f>
      </c>
      <c r="O8" s="10">
        <f>N8/f_sc</f>
      </c>
      <c r="P8" s="8">
        <f>K_sc/G8</f>
      </c>
    </row>
    <row r="9">
      <c r="A9" s="18">
        <v>150.0</v>
      </c>
      <c r="B9" s="13">
        <f>A9/1000</f>
      </c>
      <c r="C9" s="16">
        <v>0.25</v>
      </c>
      <c r="D9" s="14">
        <f>2*ACOS(1-2*C9)</f>
      </c>
      <c r="E9" s="9">
        <f>B9^2*(D9-SIN(D9))/8</f>
      </c>
      <c r="F9" s="9">
        <f>B9*D9/2</f>
      </c>
      <c r="G9" s="9">
        <f>E9/F9</f>
      </c>
      <c r="H9" s="10">
        <f>(1/n_Manning)*SQRT(K_sss/100)*E9*G9^(1/6)*1000</f>
      </c>
      <c r="I9" s="10">
        <f>H9/f_sss</f>
      </c>
      <c r="J9" s="8">
        <f>K_sss/G9</f>
      </c>
      <c r="K9" s="12">
        <f>100/J9</f>
      </c>
      <c r="L9" s="10">
        <f>(H9/1000)/E9</f>
      </c>
      <c r="M9" s="9">
        <f>(H9/1000)*n_Manning/SQRT(K_sss/100)/B9^(13/6)</f>
      </c>
      <c r="N9" s="10">
        <f>(1/n_Manning)*SQRT(K_sc/100)*E9*G9^(1/6)*1000</f>
      </c>
      <c r="O9" s="10">
        <f>N9/f_sc</f>
      </c>
      <c r="P9" s="8">
        <f>K_sc/G9</f>
      </c>
    </row>
    <row r="10">
      <c r="A10" s="18">
        <v>150.0</v>
      </c>
      <c r="B10" s="13">
        <f>A10/1000</f>
      </c>
      <c r="C10" s="16">
        <v>0.3</v>
      </c>
      <c r="D10" s="14">
        <f>2*ACOS(1-2*C10)</f>
      </c>
      <c r="E10" s="9">
        <f>B10^2*(D10-SIN(D10))/8</f>
      </c>
      <c r="F10" s="9">
        <f>B10*D10/2</f>
      </c>
      <c r="G10" s="9">
        <f>E10/F10</f>
      </c>
      <c r="H10" s="10">
        <f>(1/n_Manning)*SQRT(K_sss/100)*E10*G10^(1/6)*1000</f>
      </c>
      <c r="I10" s="10">
        <f>H10/f_sss</f>
      </c>
      <c r="J10" s="8">
        <f>K_sss/G10</f>
      </c>
      <c r="K10" s="12">
        <f>100/J10</f>
      </c>
      <c r="L10" s="10">
        <f>(H10/1000)/E10</f>
      </c>
      <c r="M10" s="9">
        <f>(H10/1000)*n_Manning/SQRT(K_sss/100)/B10^(13/6)</f>
      </c>
      <c r="N10" s="10">
        <f>(1/n_Manning)*SQRT(K_sc/100)*E10*G10^(1/6)*1000</f>
      </c>
      <c r="O10" s="10">
        <f>N10/f_sc</f>
      </c>
      <c r="P10" s="8">
        <f>K_sc/G10</f>
      </c>
    </row>
    <row r="11">
      <c r="A11" s="18">
        <v>150.0</v>
      </c>
      <c r="B11" s="13">
        <f>A11/1000</f>
      </c>
      <c r="C11" s="16">
        <v>0.35</v>
      </c>
      <c r="D11" s="14">
        <f>2*ACOS(1-2*C11)</f>
      </c>
      <c r="E11" s="9">
        <f>B11^2*(D11-SIN(D11))/8</f>
      </c>
      <c r="F11" s="9">
        <f>B11*D11/2</f>
      </c>
      <c r="G11" s="9">
        <f>E11/F11</f>
      </c>
      <c r="H11" s="10">
        <f>(1/n_Manning)*SQRT(K_sss/100)*E11*G11^(1/6)*1000</f>
      </c>
      <c r="I11" s="10">
        <f>H11/f_sss</f>
      </c>
      <c r="J11" s="8">
        <f>K_sss/G11</f>
      </c>
      <c r="K11" s="12">
        <f>100/J11</f>
      </c>
      <c r="L11" s="10">
        <f>(H11/1000)/E11</f>
      </c>
      <c r="M11" s="9">
        <f>(H11/1000)*n_Manning/SQRT(K_sss/100)/B11^(13/6)</f>
      </c>
      <c r="N11" s="10">
        <f>(1/n_Manning)*SQRT(K_sc/100)*E11*G11^(1/6)*1000</f>
      </c>
      <c r="O11" s="10">
        <f>N11/f_sc</f>
      </c>
      <c r="P11" s="8">
        <f>K_sc/G11</f>
      </c>
    </row>
    <row r="12">
      <c r="A12" s="18">
        <v>150.0</v>
      </c>
      <c r="B12" s="13">
        <f>A12/1000</f>
      </c>
      <c r="C12" s="16">
        <v>0.4</v>
      </c>
      <c r="D12" s="14">
        <f>2*ACOS(1-2*C12)</f>
      </c>
      <c r="E12" s="9">
        <f>B12^2*(D12-SIN(D12))/8</f>
      </c>
      <c r="F12" s="9">
        <f>B12*D12/2</f>
      </c>
      <c r="G12" s="9">
        <f>E12/F12</f>
      </c>
      <c r="H12" s="10">
        <f>(1/n_Manning)*SQRT(K_sss/100)*E12*G12^(1/6)*1000</f>
      </c>
      <c r="I12" s="10">
        <f>H12/f_sss</f>
      </c>
      <c r="J12" s="8">
        <f>K_sss/G12</f>
      </c>
      <c r="K12" s="12">
        <f>100/J12</f>
      </c>
      <c r="L12" s="10">
        <f>(H12/1000)/E12</f>
      </c>
      <c r="M12" s="9">
        <f>(H12/1000)*n_Manning/SQRT(K_sss/100)/B12^(13/6)</f>
      </c>
      <c r="N12" s="10">
        <f>(1/n_Manning)*SQRT(K_sc/100)*E12*G12^(1/6)*1000</f>
      </c>
      <c r="O12" s="10">
        <f>N12/f_sc</f>
      </c>
      <c r="P12" s="8">
        <f>K_sc/G12</f>
      </c>
    </row>
    <row r="13">
      <c r="A13" s="18">
        <v>150.0</v>
      </c>
      <c r="B13" s="13">
        <f>A13/1000</f>
      </c>
      <c r="C13" s="16">
        <v>0.45</v>
      </c>
      <c r="D13" s="14">
        <f>2*ACOS(1-2*C13)</f>
      </c>
      <c r="E13" s="9">
        <f>B13^2*(D13-SIN(D13))/8</f>
      </c>
      <c r="F13" s="9">
        <f>B13*D13/2</f>
      </c>
      <c r="G13" s="9">
        <f>E13/F13</f>
      </c>
      <c r="H13" s="10">
        <f>(1/n_Manning)*SQRT(K_sss/100)*E13*G13^(1/6)*1000</f>
      </c>
      <c r="I13" s="10">
        <f>H13/f_sss</f>
      </c>
      <c r="J13" s="8">
        <f>K_sss/G13</f>
      </c>
      <c r="K13" s="12">
        <f>100/J13</f>
      </c>
      <c r="L13" s="10">
        <f>(H13/1000)/E13</f>
      </c>
      <c r="M13" s="9">
        <f>(H13/1000)*n_Manning/SQRT(K_sss/100)/B13^(13/6)</f>
      </c>
      <c r="N13" s="10">
        <f>(1/n_Manning)*SQRT(K_sc/100)*E13*G13^(1/6)*1000</f>
      </c>
      <c r="O13" s="10">
        <f>N13/f_sc</f>
      </c>
      <c r="P13" s="8">
        <f>K_sc/G13</f>
      </c>
    </row>
    <row r="14">
      <c r="A14" s="18">
        <v>150.0</v>
      </c>
      <c r="B14" s="13">
        <f>A14/1000</f>
      </c>
      <c r="C14" s="16">
        <v>0.5</v>
      </c>
      <c r="D14" s="14">
        <f>2*ACOS(1-2*C14)</f>
      </c>
      <c r="E14" s="9">
        <f>B14^2*(D14-SIN(D14))/8</f>
      </c>
      <c r="F14" s="9">
        <f>B14*D14/2</f>
      </c>
      <c r="G14" s="9">
        <f>E14/F14</f>
      </c>
      <c r="H14" s="10">
        <f>(1/n_Manning)*SQRT(K_sss/100)*E14*G14^(1/6)*1000</f>
      </c>
      <c r="I14" s="10">
        <f>H14/f_sss</f>
      </c>
      <c r="J14" s="8">
        <f>K_sss/G14</f>
      </c>
      <c r="K14" s="12">
        <f>100/J14</f>
      </c>
      <c r="L14" s="10">
        <f>(H14/1000)/E14</f>
      </c>
      <c r="M14" s="9">
        <f>(H14/1000)*n_Manning/SQRT(K_sss/100)/B14^(13/6)</f>
      </c>
      <c r="N14" s="10">
        <f>(1/n_Manning)*SQRT(K_sc/100)*E14*G14^(1/6)*1000</f>
      </c>
      <c r="O14" s="10">
        <f>N14/f_sc</f>
      </c>
      <c r="P14" s="8">
        <f>K_sc/G14</f>
      </c>
    </row>
    <row r="15">
      <c r="A15" s="18">
        <v>150.0</v>
      </c>
      <c r="B15" s="13">
        <f>A15/1000</f>
      </c>
      <c r="C15" s="16">
        <v>0.55</v>
      </c>
      <c r="D15" s="14">
        <f>2*ACOS(1-2*C15)</f>
      </c>
      <c r="E15" s="9">
        <f>B15^2*(D15-SIN(D15))/8</f>
      </c>
      <c r="F15" s="9">
        <f>B15*D15/2</f>
      </c>
      <c r="G15" s="9">
        <f>E15/F15</f>
      </c>
      <c r="H15" s="10">
        <f>(1/n_Manning)*SQRT(K_sss/100)*E15*G15^(1/6)*1000</f>
      </c>
      <c r="I15" s="10">
        <f>H15/f_sss</f>
      </c>
      <c r="J15" s="8">
        <f>K_sss/G15</f>
      </c>
      <c r="K15" s="12">
        <f>100/J15</f>
      </c>
      <c r="L15" s="10">
        <f>(H15/1000)/E15</f>
      </c>
      <c r="M15" s="9">
        <f>(H15/1000)*n_Manning/SQRT(K_sss/100)/B15^(13/6)</f>
      </c>
      <c r="N15" s="10">
        <f>(1/n_Manning)*SQRT(K_sc/100)*E15*G15^(1/6)*1000</f>
      </c>
      <c r="O15" s="10">
        <f>N15/f_sc</f>
      </c>
      <c r="P15" s="8">
        <f>K_sc/G15</f>
      </c>
    </row>
    <row r="16">
      <c r="A16" s="18">
        <v>150.0</v>
      </c>
      <c r="B16" s="13">
        <f>A16/1000</f>
      </c>
      <c r="C16" s="16">
        <v>0.6</v>
      </c>
      <c r="D16" s="14">
        <f>2*ACOS(1-2*C16)</f>
      </c>
      <c r="E16" s="9">
        <f>B16^2*(D16-SIN(D16))/8</f>
      </c>
      <c r="F16" s="9">
        <f>B16*D16/2</f>
      </c>
      <c r="G16" s="9">
        <f>E16/F16</f>
      </c>
      <c r="H16" s="10">
        <f>(1/n_Manning)*SQRT(K_sss/100)*E16*G16^(1/6)*1000</f>
      </c>
      <c r="I16" s="10">
        <f>H16/f_sss</f>
      </c>
      <c r="J16" s="8">
        <f>K_sss/G16</f>
      </c>
      <c r="K16" s="12">
        <f>100/J16</f>
      </c>
      <c r="L16" s="10">
        <f>(H16/1000)/E16</f>
      </c>
      <c r="M16" s="9">
        <f>(H16/1000)*n_Manning/SQRT(K_sss/100)/B16^(13/6)</f>
      </c>
      <c r="N16" s="10">
        <f>(1/n_Manning)*SQRT(K_sc/100)*E16*G16^(1/6)*1000</f>
      </c>
      <c r="O16" s="10">
        <f>N16/f_sc</f>
      </c>
      <c r="P16" s="8">
        <f>K_sc/G16</f>
      </c>
    </row>
    <row r="17">
      <c r="A17" s="18">
        <v>150.0</v>
      </c>
      <c r="B17" s="13">
        <f>A17/1000</f>
      </c>
      <c r="C17" s="16">
        <v>0.65</v>
      </c>
      <c r="D17" s="14">
        <f>2*ACOS(1-2*C17)</f>
      </c>
      <c r="E17" s="9">
        <f>B17^2*(D17-SIN(D17))/8</f>
      </c>
      <c r="F17" s="9">
        <f>B17*D17/2</f>
      </c>
      <c r="G17" s="9">
        <f>E17/F17</f>
      </c>
      <c r="H17" s="10">
        <f>(1/n_Manning)*SQRT(K_sss/100)*E17*G17^(1/6)*1000</f>
      </c>
      <c r="I17" s="10">
        <f>H17/f_sss</f>
      </c>
      <c r="J17" s="8">
        <f>K_sss/G17</f>
      </c>
      <c r="K17" s="12">
        <f>100/J17</f>
      </c>
      <c r="L17" s="10">
        <f>(H17/1000)/E17</f>
      </c>
      <c r="M17" s="9">
        <f>(H17/1000)*n_Manning/SQRT(K_sss/100)/B17^(13/6)</f>
      </c>
      <c r="N17" s="10">
        <f>(1/n_Manning)*SQRT(K_sc/100)*E17*G17^(1/6)*1000</f>
      </c>
      <c r="O17" s="10">
        <f>N17/f_sc</f>
      </c>
      <c r="P17" s="8">
        <f>K_sc/G17</f>
      </c>
    </row>
    <row r="18">
      <c r="A18" s="18">
        <v>150.0</v>
      </c>
      <c r="B18" s="13">
        <f>A18/1000</f>
      </c>
      <c r="C18" s="16">
        <v>0.7</v>
      </c>
      <c r="D18" s="14">
        <f>2*ACOS(1-2*C18)</f>
      </c>
      <c r="E18" s="9">
        <f>B18^2*(D18-SIN(D18))/8</f>
      </c>
      <c r="F18" s="9">
        <f>B18*D18/2</f>
      </c>
      <c r="G18" s="9">
        <f>E18/F18</f>
      </c>
      <c r="H18" s="10">
        <f>(1/n_Manning)*SQRT(K_sss/100)*E18*G18^(1/6)*1000</f>
      </c>
      <c r="I18" s="10">
        <f>H18/f_sss</f>
      </c>
      <c r="J18" s="8">
        <f>K_sss/G18</f>
      </c>
      <c r="K18" s="12">
        <f>100/J18</f>
      </c>
      <c r="L18" s="10">
        <f>(H18/1000)/E18</f>
      </c>
      <c r="M18" s="9">
        <f>(H18/1000)*n_Manning/SQRT(K_sss/100)/B18^(13/6)</f>
      </c>
      <c r="N18" s="10">
        <f>(1/n_Manning)*SQRT(K_sc/100)*E18*G18^(1/6)*1000</f>
      </c>
      <c r="O18" s="10">
        <f>N18/f_sc</f>
      </c>
      <c r="P18" s="8">
        <f>K_sc/G18</f>
      </c>
    </row>
    <row r="19">
      <c r="A19" s="18">
        <v>150.0</v>
      </c>
      <c r="B19" s="13">
        <f>A19/1000</f>
      </c>
      <c r="C19" s="16">
        <v>0.75</v>
      </c>
      <c r="D19" s="14">
        <f>2*ACOS(1-2*C19)</f>
      </c>
      <c r="E19" s="9">
        <f>B19^2*(D19-SIN(D19))/8</f>
      </c>
      <c r="F19" s="9">
        <f>B19*D19/2</f>
      </c>
      <c r="G19" s="9">
        <f>E19/F19</f>
      </c>
      <c r="H19" s="10">
        <f>(1/n_Manning)*SQRT(K_sss/100)*E19*G19^(1/6)*1000</f>
      </c>
      <c r="I19" s="10">
        <f>H19/f_sss</f>
      </c>
      <c r="J19" s="8">
        <f>K_sss/G19</f>
      </c>
      <c r="K19" s="12">
        <f>100/J19</f>
      </c>
      <c r="L19" s="10">
        <f>(H19/1000)/E19</f>
      </c>
      <c r="M19" s="9">
        <f>(H19/1000)*n_Manning/SQRT(K_sss/100)/B19^(13/6)</f>
      </c>
      <c r="N19" s="10">
        <f>(1/n_Manning)*SQRT(K_sc/100)*E19*G19^(1/6)*1000</f>
      </c>
      <c r="O19" s="10">
        <f>N19/f_sc</f>
      </c>
      <c r="P19" s="8">
        <f>K_sc/G19</f>
      </c>
    </row>
    <row r="20">
      <c r="A20" s="18">
        <v>150.0</v>
      </c>
      <c r="B20" s="13">
        <f>A20/1000</f>
      </c>
      <c r="C20" s="16">
        <v>0.8</v>
      </c>
      <c r="D20" s="14">
        <f>2*ACOS(1-2*C20)</f>
      </c>
      <c r="E20" s="9">
        <f>B20^2*(D20-SIN(D20))/8</f>
      </c>
      <c r="F20" s="9">
        <f>B20*D20/2</f>
      </c>
      <c r="G20" s="9">
        <f>E20/F20</f>
      </c>
      <c r="H20" s="10">
        <f>(1/n_Manning)*SQRT(K_sss/100)*E20*G20^(1/6)*1000</f>
      </c>
      <c r="I20" s="10">
        <f>H20/f_sss</f>
      </c>
      <c r="J20" s="8">
        <f>K_sss/G20</f>
      </c>
      <c r="K20" s="12">
        <f>100/J20</f>
      </c>
      <c r="L20" s="10">
        <f>(H20/1000)/E20</f>
      </c>
      <c r="M20" s="9">
        <f>(H20/1000)*n_Manning/SQRT(K_sss/100)/B20^(13/6)</f>
      </c>
      <c r="N20" s="10">
        <f>(1/n_Manning)*SQRT(K_sc/100)*E20*G20^(1/6)*1000</f>
      </c>
      <c r="O20" s="10">
        <f>N20/f_sc</f>
      </c>
      <c r="P20" s="8">
        <f>K_sc/G20</f>
      </c>
    </row>
    <row r="21">
      <c r="A21" s="18">
        <v>150.0</v>
      </c>
      <c r="B21" s="13">
        <f>A21/1000</f>
      </c>
      <c r="C21" s="16">
        <v>0.85</v>
      </c>
      <c r="D21" s="14">
        <f>2*ACOS(1-2*C21)</f>
      </c>
      <c r="E21" s="9">
        <f>B21^2*(D21-SIN(D21))/8</f>
      </c>
      <c r="F21" s="9">
        <f>B21*D21/2</f>
      </c>
      <c r="G21" s="9">
        <f>E21/F21</f>
      </c>
      <c r="H21" s="10">
        <f>(1/n_Manning)*SQRT(K_sss/100)*E21*G21^(1/6)*1000</f>
      </c>
      <c r="I21" s="10">
        <f>H21/f_sss</f>
      </c>
      <c r="J21" s="8">
        <f>K_sss/G21</f>
      </c>
      <c r="K21" s="12">
        <f>100/J21</f>
      </c>
      <c r="L21" s="10">
        <f>(H21/1000)/E21</f>
      </c>
      <c r="M21" s="9">
        <f>(H21/1000)*n_Manning/SQRT(K_sss/100)/B21^(13/6)</f>
      </c>
      <c r="N21" s="10">
        <f>(1/n_Manning)*SQRT(K_sc/100)*E21*G21^(1/6)*1000</f>
      </c>
      <c r="O21" s="10">
        <f>N21/f_sc</f>
      </c>
      <c r="P21" s="8">
        <f>K_sc/G21</f>
      </c>
    </row>
    <row r="22">
      <c r="A22" s="18">
        <v>150.0</v>
      </c>
      <c r="B22" s="13">
        <f>A22/1000</f>
      </c>
      <c r="C22" s="16">
        <v>0.9</v>
      </c>
      <c r="D22" s="14">
        <f>2*ACOS(1-2*C22)</f>
      </c>
      <c r="E22" s="9">
        <f>B22^2*(D22-SIN(D22))/8</f>
      </c>
      <c r="F22" s="9">
        <f>B22*D22/2</f>
      </c>
      <c r="G22" s="9">
        <f>E22/F22</f>
      </c>
      <c r="H22" s="10">
        <f>(1/n_Manning)*SQRT(K_sss/100)*E22*G22^(1/6)*1000</f>
      </c>
      <c r="I22" s="10">
        <f>H22/f_sss</f>
      </c>
      <c r="J22" s="8">
        <f>K_sss/G22</f>
      </c>
      <c r="K22" s="12">
        <f>100/J22</f>
      </c>
      <c r="L22" s="10">
        <f>(H22/1000)/E22</f>
      </c>
      <c r="M22" s="9">
        <f>(H22/1000)*n_Manning/SQRT(K_sss/100)/B22^(13/6)</f>
      </c>
      <c r="N22" s="10">
        <f>(1/n_Manning)*SQRT(K_sc/100)*E22*G22^(1/6)*1000</f>
      </c>
      <c r="O22" s="10">
        <f>N22/f_sc</f>
      </c>
      <c r="P22" s="8">
        <f>K_sc/G22</f>
      </c>
    </row>
    <row r="23">
      <c r="A23" s="18">
        <v>150.0</v>
      </c>
      <c r="B23" s="13">
        <f>A23/1000</f>
      </c>
      <c r="C23" s="16">
        <v>0.95</v>
      </c>
      <c r="D23" s="14">
        <f>2*ACOS(1-2*C23)</f>
      </c>
      <c r="E23" s="9">
        <f>B23^2*(D23-SIN(D23))/8</f>
      </c>
      <c r="F23" s="9">
        <f>B23*D23/2</f>
      </c>
      <c r="G23" s="9">
        <f>E23/F23</f>
      </c>
      <c r="H23" s="10">
        <f>(1/n_Manning)*SQRT(K_sss/100)*E23*G23^(1/6)*1000</f>
      </c>
      <c r="I23" s="10">
        <f>H23/f_sss</f>
      </c>
      <c r="J23" s="8">
        <f>K_sss/G23</f>
      </c>
      <c r="K23" s="12">
        <f>100/J23</f>
      </c>
      <c r="L23" s="10">
        <f>(H23/1000)/E23</f>
      </c>
      <c r="M23" s="9">
        <f>(H23/1000)*n_Manning/SQRT(K_sss/100)/B23^(13/6)</f>
      </c>
      <c r="N23" s="10">
        <f>(1/n_Manning)*SQRT(K_sc/100)*E23*G23^(1/6)*1000</f>
      </c>
      <c r="O23" s="10">
        <f>N23/f_sc</f>
      </c>
      <c r="P23" s="8">
        <f>K_sc/G23</f>
      </c>
    </row>
    <row r="24">
      <c r="A24" s="18">
        <v>150.0</v>
      </c>
      <c r="B24" s="13">
        <f>A24/1000</f>
      </c>
      <c r="C24" s="16">
        <v>1.0</v>
      </c>
      <c r="D24" s="14">
        <f>2*ACOS(1-2*C24)</f>
      </c>
      <c r="E24" s="9">
        <f>B24^2*(D24-SIN(D24))/8</f>
      </c>
      <c r="F24" s="9">
        <f>B24*D24/2</f>
      </c>
      <c r="G24" s="9">
        <f>E24/F24</f>
      </c>
      <c r="H24" s="10">
        <f>(1/n_Manning)*SQRT(K_sss/100)*E24*G24^(1/6)*1000</f>
      </c>
      <c r="I24" s="10">
        <f>H24/f_sss</f>
      </c>
      <c r="J24" s="8">
        <f>K_sss/G24</f>
      </c>
      <c r="K24" s="12">
        <f>100/J24</f>
      </c>
      <c r="L24" s="10">
        <f>(H24/1000)/E24</f>
      </c>
      <c r="M24" s="9">
        <f>(H24/1000)*n_Manning/SQRT(K_sss/100)/B24^(13/6)</f>
      </c>
      <c r="N24" s="10">
        <f>(1/n_Manning)*SQRT(K_sc/100)*E24*G24^(1/6)*1000</f>
      </c>
      <c r="O24" s="10">
        <f>N24/f_sc</f>
      </c>
      <c r="P24" s="8">
        <f>K_sc/G24</f>
      </c>
    </row>
    <row r="26">
      <c r="A26" s="18">
        <v>225.0</v>
      </c>
      <c r="B26" s="13">
        <f>A26/1000</f>
      </c>
      <c r="C26" s="16">
        <v>0.05</v>
      </c>
      <c r="D26" s="14">
        <f>2*ACOS(1-2*C26)</f>
      </c>
      <c r="E26" s="9">
        <f>B26^2*(D26-SIN(D26))/8</f>
      </c>
      <c r="F26" s="9">
        <f>B26*D26/2</f>
      </c>
      <c r="G26" s="9">
        <f>E26/F26</f>
      </c>
      <c r="H26" s="10">
        <f>(1/n_Manning)*SQRT(K_sss/100)*E26*G26^(1/6)*1000</f>
      </c>
      <c r="I26" s="10">
        <f>H26/f_sss</f>
      </c>
      <c r="J26" s="8">
        <f>K_sss/G26</f>
      </c>
      <c r="K26" s="12">
        <f>100/J26</f>
      </c>
      <c r="L26" s="10">
        <f>(H26/1000)/E26</f>
      </c>
      <c r="M26" s="9">
        <f>(H26/1000)*n_Manning/SQRT(K_sss/100)/B26^(13/6)</f>
      </c>
      <c r="N26" s="10">
        <f>(1/n_Manning)*SQRT(K_sc/100)*E26*G26^(1/6)*1000</f>
      </c>
      <c r="O26" s="10">
        <f>N26/f_sc</f>
      </c>
      <c r="P26" s="8">
        <f>K_sc/G26</f>
      </c>
    </row>
    <row r="27">
      <c r="A27" s="18">
        <v>225.0</v>
      </c>
      <c r="B27" s="13">
        <f>A27/1000</f>
      </c>
      <c r="C27" s="16">
        <v>0.1</v>
      </c>
      <c r="D27" s="14">
        <f>2*ACOS(1-2*C27)</f>
      </c>
      <c r="E27" s="9">
        <f>B27^2*(D27-SIN(D27))/8</f>
      </c>
      <c r="F27" s="9">
        <f>B27*D27/2</f>
      </c>
      <c r="G27" s="9">
        <f>E27/F27</f>
      </c>
      <c r="H27" s="10">
        <f>(1/n_Manning)*SQRT(K_sss/100)*E27*G27^(1/6)*1000</f>
      </c>
      <c r="I27" s="10">
        <f>H27/f_sss</f>
      </c>
      <c r="J27" s="8">
        <f>K_sss/G27</f>
      </c>
      <c r="K27" s="12">
        <f>100/J27</f>
      </c>
      <c r="L27" s="10">
        <f>(H27/1000)/E27</f>
      </c>
      <c r="M27" s="9">
        <f>(H27/1000)*n_Manning/SQRT(K_sss/100)/B27^(13/6)</f>
      </c>
      <c r="N27" s="10">
        <f>(1/n_Manning)*SQRT(K_sc/100)*E27*G27^(1/6)*1000</f>
      </c>
      <c r="O27" s="10">
        <f>N27/f_sc</f>
      </c>
      <c r="P27" s="8">
        <f>K_sc/G27</f>
      </c>
    </row>
    <row r="28">
      <c r="A28" s="18">
        <v>225.0</v>
      </c>
      <c r="B28" s="13">
        <f>A28/1000</f>
      </c>
      <c r="C28" s="16">
        <v>0.15</v>
      </c>
      <c r="D28" s="14">
        <f>2*ACOS(1-2*C28)</f>
      </c>
      <c r="E28" s="9">
        <f>B28^2*(D28-SIN(D28))/8</f>
      </c>
      <c r="F28" s="9">
        <f>B28*D28/2</f>
      </c>
      <c r="G28" s="9">
        <f>E28/F28</f>
      </c>
      <c r="H28" s="10">
        <f>(1/n_Manning)*SQRT(K_sss/100)*E28*G28^(1/6)*1000</f>
      </c>
      <c r="I28" s="10">
        <f>H28/f_sss</f>
      </c>
      <c r="J28" s="8">
        <f>K_sss/G28</f>
      </c>
      <c r="K28" s="12">
        <f>100/J28</f>
      </c>
      <c r="L28" s="10">
        <f>(H28/1000)/E28</f>
      </c>
      <c r="M28" s="9">
        <f>(H28/1000)*n_Manning/SQRT(K_sss/100)/B28^(13/6)</f>
      </c>
      <c r="N28" s="10">
        <f>(1/n_Manning)*SQRT(K_sc/100)*E28*G28^(1/6)*1000</f>
      </c>
      <c r="O28" s="10">
        <f>N28/f_sc</f>
      </c>
      <c r="P28" s="8">
        <f>K_sc/G28</f>
      </c>
    </row>
    <row r="29">
      <c r="A29" s="18">
        <v>225.0</v>
      </c>
      <c r="B29" s="13">
        <f>A29/1000</f>
      </c>
      <c r="C29" s="16">
        <v>0.2</v>
      </c>
      <c r="D29" s="14">
        <f>2*ACOS(1-2*C29)</f>
      </c>
      <c r="E29" s="9">
        <f>B29^2*(D29-SIN(D29))/8</f>
      </c>
      <c r="F29" s="9">
        <f>B29*D29/2</f>
      </c>
      <c r="G29" s="9">
        <f>E29/F29</f>
      </c>
      <c r="H29" s="10">
        <f>(1/n_Manning)*SQRT(K_sss/100)*E29*G29^(1/6)*1000</f>
      </c>
      <c r="I29" s="10">
        <f>H29/f_sss</f>
      </c>
      <c r="J29" s="8">
        <f>K_sss/G29</f>
      </c>
      <c r="K29" s="12">
        <f>100/J29</f>
      </c>
      <c r="L29" s="10">
        <f>(H29/1000)/E29</f>
      </c>
      <c r="M29" s="9">
        <f>(H29/1000)*n_Manning/SQRT(K_sss/100)/B29^(13/6)</f>
      </c>
      <c r="N29" s="10">
        <f>(1/n_Manning)*SQRT(K_sc/100)*E29*G29^(1/6)*1000</f>
      </c>
      <c r="O29" s="10">
        <f>N29/f_sc</f>
      </c>
      <c r="P29" s="8">
        <f>K_sc/G29</f>
      </c>
    </row>
    <row r="30">
      <c r="A30" s="18">
        <v>225.0</v>
      </c>
      <c r="B30" s="13">
        <f>A30/1000</f>
      </c>
      <c r="C30" s="16">
        <v>0.25</v>
      </c>
      <c r="D30" s="14">
        <f>2*ACOS(1-2*C30)</f>
      </c>
      <c r="E30" s="9">
        <f>B30^2*(D30-SIN(D30))/8</f>
      </c>
      <c r="F30" s="9">
        <f>B30*D30/2</f>
      </c>
      <c r="G30" s="9">
        <f>E30/F30</f>
      </c>
      <c r="H30" s="10">
        <f>(1/n_Manning)*SQRT(K_sss/100)*E30*G30^(1/6)*1000</f>
      </c>
      <c r="I30" s="10">
        <f>H30/f_sss</f>
      </c>
      <c r="J30" s="8">
        <f>K_sss/G30</f>
      </c>
      <c r="K30" s="12">
        <f>100/J30</f>
      </c>
      <c r="L30" s="10">
        <f>(H30/1000)/E30</f>
      </c>
      <c r="M30" s="9">
        <f>(H30/1000)*n_Manning/SQRT(K_sss/100)/B30^(13/6)</f>
      </c>
      <c r="N30" s="10">
        <f>(1/n_Manning)*SQRT(K_sc/100)*E30*G30^(1/6)*1000</f>
      </c>
      <c r="O30" s="10">
        <f>N30/f_sc</f>
      </c>
      <c r="P30" s="8">
        <f>K_sc/G30</f>
      </c>
    </row>
    <row r="31">
      <c r="A31" s="18">
        <v>225.0</v>
      </c>
      <c r="B31" s="13">
        <f>A31/1000</f>
      </c>
      <c r="C31" s="16">
        <v>0.3</v>
      </c>
      <c r="D31" s="14">
        <f>2*ACOS(1-2*C31)</f>
      </c>
      <c r="E31" s="9">
        <f>B31^2*(D31-SIN(D31))/8</f>
      </c>
      <c r="F31" s="9">
        <f>B31*D31/2</f>
      </c>
      <c r="G31" s="9">
        <f>E31/F31</f>
      </c>
      <c r="H31" s="10">
        <f>(1/n_Manning)*SQRT(K_sss/100)*E31*G31^(1/6)*1000</f>
      </c>
      <c r="I31" s="10">
        <f>H31/f_sss</f>
      </c>
      <c r="J31" s="8">
        <f>K_sss/G31</f>
      </c>
      <c r="K31" s="12">
        <f>100/J31</f>
      </c>
      <c r="L31" s="10">
        <f>(H31/1000)/E31</f>
      </c>
      <c r="M31" s="9">
        <f>(H31/1000)*n_Manning/SQRT(K_sss/100)/B31^(13/6)</f>
      </c>
      <c r="N31" s="10">
        <f>(1/n_Manning)*SQRT(K_sc/100)*E31*G31^(1/6)*1000</f>
      </c>
      <c r="O31" s="10">
        <f>N31/f_sc</f>
      </c>
      <c r="P31" s="8">
        <f>K_sc/G31</f>
      </c>
    </row>
    <row r="32">
      <c r="A32" s="18">
        <v>225.0</v>
      </c>
      <c r="B32" s="13">
        <f>A32/1000</f>
      </c>
      <c r="C32" s="16">
        <v>0.35</v>
      </c>
      <c r="D32" s="14">
        <f>2*ACOS(1-2*C32)</f>
      </c>
      <c r="E32" s="9">
        <f>B32^2*(D32-SIN(D32))/8</f>
      </c>
      <c r="F32" s="9">
        <f>B32*D32/2</f>
      </c>
      <c r="G32" s="9">
        <f>E32/F32</f>
      </c>
      <c r="H32" s="10">
        <f>(1/n_Manning)*SQRT(K_sss/100)*E32*G32^(1/6)*1000</f>
      </c>
      <c r="I32" s="10">
        <f>H32/f_sss</f>
      </c>
      <c r="J32" s="8">
        <f>K_sss/G32</f>
      </c>
      <c r="K32" s="12">
        <f>100/J32</f>
      </c>
      <c r="L32" s="10">
        <f>(H32/1000)/E32</f>
      </c>
      <c r="M32" s="9">
        <f>(H32/1000)*n_Manning/SQRT(K_sss/100)/B32^(13/6)</f>
      </c>
      <c r="N32" s="10">
        <f>(1/n_Manning)*SQRT(K_sc/100)*E32*G32^(1/6)*1000</f>
      </c>
      <c r="O32" s="10">
        <f>N32/f_sc</f>
      </c>
      <c r="P32" s="8">
        <f>K_sc/G32</f>
      </c>
    </row>
    <row r="33">
      <c r="A33" s="18">
        <v>225.0</v>
      </c>
      <c r="B33" s="13">
        <f>A33/1000</f>
      </c>
      <c r="C33" s="16">
        <v>0.4</v>
      </c>
      <c r="D33" s="14">
        <f>2*ACOS(1-2*C33)</f>
      </c>
      <c r="E33" s="9">
        <f>B33^2*(D33-SIN(D33))/8</f>
      </c>
      <c r="F33" s="9">
        <f>B33*D33/2</f>
      </c>
      <c r="G33" s="9">
        <f>E33/F33</f>
      </c>
      <c r="H33" s="10">
        <f>(1/n_Manning)*SQRT(K_sss/100)*E33*G33^(1/6)*1000</f>
      </c>
      <c r="I33" s="10">
        <f>H33/f_sss</f>
      </c>
      <c r="J33" s="8">
        <f>K_sss/G33</f>
      </c>
      <c r="K33" s="12">
        <f>100/J33</f>
      </c>
      <c r="L33" s="10">
        <f>(H33/1000)/E33</f>
      </c>
      <c r="M33" s="9">
        <f>(H33/1000)*n_Manning/SQRT(K_sss/100)/B33^(13/6)</f>
      </c>
      <c r="N33" s="10">
        <f>(1/n_Manning)*SQRT(K_sc/100)*E33*G33^(1/6)*1000</f>
      </c>
      <c r="O33" s="10">
        <f>N33/f_sc</f>
      </c>
      <c r="P33" s="8">
        <f>K_sc/G33</f>
      </c>
    </row>
    <row r="34">
      <c r="A34" s="18">
        <v>225.0</v>
      </c>
      <c r="B34" s="13">
        <f>A34/1000</f>
      </c>
      <c r="C34" s="16">
        <v>0.45</v>
      </c>
      <c r="D34" s="14">
        <f>2*ACOS(1-2*C34)</f>
      </c>
      <c r="E34" s="9">
        <f>B34^2*(D34-SIN(D34))/8</f>
      </c>
      <c r="F34" s="9">
        <f>B34*D34/2</f>
      </c>
      <c r="G34" s="9">
        <f>E34/F34</f>
      </c>
      <c r="H34" s="10">
        <f>(1/n_Manning)*SQRT(K_sss/100)*E34*G34^(1/6)*1000</f>
      </c>
      <c r="I34" s="10">
        <f>H34/f_sss</f>
      </c>
      <c r="J34" s="8">
        <f>K_sss/G34</f>
      </c>
      <c r="K34" s="12">
        <f>100/J34</f>
      </c>
      <c r="L34" s="10">
        <f>(H34/1000)/E34</f>
      </c>
      <c r="M34" s="9">
        <f>(H34/1000)*n_Manning/SQRT(K_sss/100)/B34^(13/6)</f>
      </c>
      <c r="N34" s="10">
        <f>(1/n_Manning)*SQRT(K_sc/100)*E34*G34^(1/6)*1000</f>
      </c>
      <c r="O34" s="10">
        <f>N34/f_sc</f>
      </c>
      <c r="P34" s="8">
        <f>K_sc/G34</f>
      </c>
    </row>
    <row r="35">
      <c r="A35" s="18">
        <v>225.0</v>
      </c>
      <c r="B35" s="13">
        <f>A35/1000</f>
      </c>
      <c r="C35" s="16">
        <v>0.5</v>
      </c>
      <c r="D35" s="14">
        <f>2*ACOS(1-2*C35)</f>
      </c>
      <c r="E35" s="9">
        <f>B35^2*(D35-SIN(D35))/8</f>
      </c>
      <c r="F35" s="9">
        <f>B35*D35/2</f>
      </c>
      <c r="G35" s="9">
        <f>E35/F35</f>
      </c>
      <c r="H35" s="10">
        <f>(1/n_Manning)*SQRT(K_sss/100)*E35*G35^(1/6)*1000</f>
      </c>
      <c r="I35" s="10">
        <f>H35/f_sss</f>
      </c>
      <c r="J35" s="8">
        <f>K_sss/G35</f>
      </c>
      <c r="K35" s="12">
        <f>100/J35</f>
      </c>
      <c r="L35" s="10">
        <f>(H35/1000)/E35</f>
      </c>
      <c r="M35" s="9">
        <f>(H35/1000)*n_Manning/SQRT(K_sss/100)/B35^(13/6)</f>
      </c>
      <c r="N35" s="10">
        <f>(1/n_Manning)*SQRT(K_sc/100)*E35*G35^(1/6)*1000</f>
      </c>
      <c r="O35" s="10">
        <f>N35/f_sc</f>
      </c>
      <c r="P35" s="8">
        <f>K_sc/G35</f>
      </c>
    </row>
    <row r="36">
      <c r="A36" s="18">
        <v>225.0</v>
      </c>
      <c r="B36" s="13">
        <f>A36/1000</f>
      </c>
      <c r="C36" s="16">
        <v>0.55</v>
      </c>
      <c r="D36" s="14">
        <f>2*ACOS(1-2*C36)</f>
      </c>
      <c r="E36" s="9">
        <f>B36^2*(D36-SIN(D36))/8</f>
      </c>
      <c r="F36" s="9">
        <f>B36*D36/2</f>
      </c>
      <c r="G36" s="9">
        <f>E36/F36</f>
      </c>
      <c r="H36" s="10">
        <f>(1/n_Manning)*SQRT(K_sss/100)*E36*G36^(1/6)*1000</f>
      </c>
      <c r="I36" s="10">
        <f>H36/f_sss</f>
      </c>
      <c r="J36" s="8">
        <f>K_sss/G36</f>
      </c>
      <c r="K36" s="12">
        <f>100/J36</f>
      </c>
      <c r="L36" s="10">
        <f>(H36/1000)/E36</f>
      </c>
      <c r="M36" s="9">
        <f>(H36/1000)*n_Manning/SQRT(K_sss/100)/B36^(13/6)</f>
      </c>
      <c r="N36" s="10">
        <f>(1/n_Manning)*SQRT(K_sc/100)*E36*G36^(1/6)*1000</f>
      </c>
      <c r="O36" s="10">
        <f>N36/f_sc</f>
      </c>
      <c r="P36" s="8">
        <f>K_sc/G36</f>
      </c>
    </row>
    <row r="37">
      <c r="A37" s="18">
        <v>225.0</v>
      </c>
      <c r="B37" s="13">
        <f>A37/1000</f>
      </c>
      <c r="C37" s="16">
        <v>0.6</v>
      </c>
      <c r="D37" s="14">
        <f>2*ACOS(1-2*C37)</f>
      </c>
      <c r="E37" s="9">
        <f>B37^2*(D37-SIN(D37))/8</f>
      </c>
      <c r="F37" s="9">
        <f>B37*D37/2</f>
      </c>
      <c r="G37" s="9">
        <f>E37/F37</f>
      </c>
      <c r="H37" s="10">
        <f>(1/n_Manning)*SQRT(K_sss/100)*E37*G37^(1/6)*1000</f>
      </c>
      <c r="I37" s="10">
        <f>H37/f_sss</f>
      </c>
      <c r="J37" s="8">
        <f>K_sss/G37</f>
      </c>
      <c r="K37" s="12">
        <f>100/J37</f>
      </c>
      <c r="L37" s="10">
        <f>(H37/1000)/E37</f>
      </c>
      <c r="M37" s="9">
        <f>(H37/1000)*n_Manning/SQRT(K_sss/100)/B37^(13/6)</f>
      </c>
      <c r="N37" s="10">
        <f>(1/n_Manning)*SQRT(K_sc/100)*E37*G37^(1/6)*1000</f>
      </c>
      <c r="O37" s="10">
        <f>N37/f_sc</f>
      </c>
      <c r="P37" s="8">
        <f>K_sc/G37</f>
      </c>
    </row>
    <row r="38">
      <c r="A38" s="18">
        <v>225.0</v>
      </c>
      <c r="B38" s="13">
        <f>A38/1000</f>
      </c>
      <c r="C38" s="16">
        <v>0.65</v>
      </c>
      <c r="D38" s="14">
        <f>2*ACOS(1-2*C38)</f>
      </c>
      <c r="E38" s="9">
        <f>B38^2*(D38-SIN(D38))/8</f>
      </c>
      <c r="F38" s="9">
        <f>B38*D38/2</f>
      </c>
      <c r="G38" s="9">
        <f>E38/F38</f>
      </c>
      <c r="H38" s="10">
        <f>(1/n_Manning)*SQRT(K_sss/100)*E38*G38^(1/6)*1000</f>
      </c>
      <c r="I38" s="10">
        <f>H38/f_sss</f>
      </c>
      <c r="J38" s="8">
        <f>K_sss/G38</f>
      </c>
      <c r="K38" s="12">
        <f>100/J38</f>
      </c>
      <c r="L38" s="10">
        <f>(H38/1000)/E38</f>
      </c>
      <c r="M38" s="9">
        <f>(H38/1000)*n_Manning/SQRT(K_sss/100)/B38^(13/6)</f>
      </c>
      <c r="N38" s="10">
        <f>(1/n_Manning)*SQRT(K_sc/100)*E38*G38^(1/6)*1000</f>
      </c>
      <c r="O38" s="10">
        <f>N38/f_sc</f>
      </c>
      <c r="P38" s="8">
        <f>K_sc/G38</f>
      </c>
    </row>
    <row r="39">
      <c r="A39" s="18">
        <v>225.0</v>
      </c>
      <c r="B39" s="13">
        <f>A39/1000</f>
      </c>
      <c r="C39" s="16">
        <v>0.7</v>
      </c>
      <c r="D39" s="14">
        <f>2*ACOS(1-2*C39)</f>
      </c>
      <c r="E39" s="9">
        <f>B39^2*(D39-SIN(D39))/8</f>
      </c>
      <c r="F39" s="9">
        <f>B39*D39/2</f>
      </c>
      <c r="G39" s="9">
        <f>E39/F39</f>
      </c>
      <c r="H39" s="10">
        <f>(1/n_Manning)*SQRT(K_sss/100)*E39*G39^(1/6)*1000</f>
      </c>
      <c r="I39" s="10">
        <f>H39/f_sss</f>
      </c>
      <c r="J39" s="8">
        <f>K_sss/G39</f>
      </c>
      <c r="K39" s="12">
        <f>100/J39</f>
      </c>
      <c r="L39" s="10">
        <f>(H39/1000)/E39</f>
      </c>
      <c r="M39" s="9">
        <f>(H39/1000)*n_Manning/SQRT(K_sss/100)/B39^(13/6)</f>
      </c>
      <c r="N39" s="10">
        <f>(1/n_Manning)*SQRT(K_sc/100)*E39*G39^(1/6)*1000</f>
      </c>
      <c r="O39" s="10">
        <f>N39/f_sc</f>
      </c>
      <c r="P39" s="8">
        <f>K_sc/G39</f>
      </c>
    </row>
    <row r="40">
      <c r="A40" s="18">
        <v>225.0</v>
      </c>
      <c r="B40" s="13">
        <f>A40/1000</f>
      </c>
      <c r="C40" s="16">
        <v>0.75</v>
      </c>
      <c r="D40" s="14">
        <f>2*ACOS(1-2*C40)</f>
      </c>
      <c r="E40" s="9">
        <f>B40^2*(D40-SIN(D40))/8</f>
      </c>
      <c r="F40" s="9">
        <f>B40*D40/2</f>
      </c>
      <c r="G40" s="9">
        <f>E40/F40</f>
      </c>
      <c r="H40" s="10">
        <f>(1/n_Manning)*SQRT(K_sss/100)*E40*G40^(1/6)*1000</f>
      </c>
      <c r="I40" s="10">
        <f>H40/f_sss</f>
      </c>
      <c r="J40" s="8">
        <f>K_sss/G40</f>
      </c>
      <c r="K40" s="12">
        <f>100/J40</f>
      </c>
      <c r="L40" s="10">
        <f>(H40/1000)/E40</f>
      </c>
      <c r="M40" s="9">
        <f>(H40/1000)*n_Manning/SQRT(K_sss/100)/B40^(13/6)</f>
      </c>
      <c r="N40" s="10">
        <f>(1/n_Manning)*SQRT(K_sc/100)*E40*G40^(1/6)*1000</f>
      </c>
      <c r="O40" s="10">
        <f>N40/f_sc</f>
      </c>
      <c r="P40" s="8">
        <f>K_sc/G40</f>
      </c>
    </row>
    <row r="41">
      <c r="A41" s="18">
        <v>225.0</v>
      </c>
      <c r="B41" s="13">
        <f>A41/1000</f>
      </c>
      <c r="C41" s="16">
        <v>0.8</v>
      </c>
      <c r="D41" s="14">
        <f>2*ACOS(1-2*C41)</f>
      </c>
      <c r="E41" s="9">
        <f>B41^2*(D41-SIN(D41))/8</f>
      </c>
      <c r="F41" s="9">
        <f>B41*D41/2</f>
      </c>
      <c r="G41" s="9">
        <f>E41/F41</f>
      </c>
      <c r="H41" s="10">
        <f>(1/n_Manning)*SQRT(K_sss/100)*E41*G41^(1/6)*1000</f>
      </c>
      <c r="I41" s="10">
        <f>H41/f_sss</f>
      </c>
      <c r="J41" s="8">
        <f>K_sss/G41</f>
      </c>
      <c r="K41" s="12">
        <f>100/J41</f>
      </c>
      <c r="L41" s="10">
        <f>(H41/1000)/E41</f>
      </c>
      <c r="M41" s="9">
        <f>(H41/1000)*n_Manning/SQRT(K_sss/100)/B41^(13/6)</f>
      </c>
      <c r="N41" s="10">
        <f>(1/n_Manning)*SQRT(K_sc/100)*E41*G41^(1/6)*1000</f>
      </c>
      <c r="O41" s="10">
        <f>N41/f_sc</f>
      </c>
      <c r="P41" s="8">
        <f>K_sc/G41</f>
      </c>
    </row>
    <row r="42">
      <c r="A42" s="18">
        <v>225.0</v>
      </c>
      <c r="B42" s="13">
        <f>A42/1000</f>
      </c>
      <c r="C42" s="16">
        <v>0.85</v>
      </c>
      <c r="D42" s="14">
        <f>2*ACOS(1-2*C42)</f>
      </c>
      <c r="E42" s="9">
        <f>B42^2*(D42-SIN(D42))/8</f>
      </c>
      <c r="F42" s="9">
        <f>B42*D42/2</f>
      </c>
      <c r="G42" s="9">
        <f>E42/F42</f>
      </c>
      <c r="H42" s="10">
        <f>(1/n_Manning)*SQRT(K_sss/100)*E42*G42^(1/6)*1000</f>
      </c>
      <c r="I42" s="10">
        <f>H42/f_sss</f>
      </c>
      <c r="J42" s="8">
        <f>K_sss/G42</f>
      </c>
      <c r="K42" s="12">
        <f>100/J42</f>
      </c>
      <c r="L42" s="10">
        <f>(H42/1000)/E42</f>
      </c>
      <c r="M42" s="9">
        <f>(H42/1000)*n_Manning/SQRT(K_sss/100)/B42^(13/6)</f>
      </c>
      <c r="N42" s="10">
        <f>(1/n_Manning)*SQRT(K_sc/100)*E42*G42^(1/6)*1000</f>
      </c>
      <c r="O42" s="10">
        <f>N42/f_sc</f>
      </c>
      <c r="P42" s="8">
        <f>K_sc/G42</f>
      </c>
    </row>
    <row r="43">
      <c r="A43" s="18">
        <v>225.0</v>
      </c>
      <c r="B43" s="13">
        <f>A43/1000</f>
      </c>
      <c r="C43" s="16">
        <v>0.9</v>
      </c>
      <c r="D43" s="14">
        <f>2*ACOS(1-2*C43)</f>
      </c>
      <c r="E43" s="9">
        <f>B43^2*(D43-SIN(D43))/8</f>
      </c>
      <c r="F43" s="9">
        <f>B43*D43/2</f>
      </c>
      <c r="G43" s="9">
        <f>E43/F43</f>
      </c>
      <c r="H43" s="10">
        <f>(1/n_Manning)*SQRT(K_sss/100)*E43*G43^(1/6)*1000</f>
      </c>
      <c r="I43" s="10">
        <f>H43/f_sss</f>
      </c>
      <c r="J43" s="8">
        <f>K_sss/G43</f>
      </c>
      <c r="K43" s="12">
        <f>100/J43</f>
      </c>
      <c r="L43" s="10">
        <f>(H43/1000)/E43</f>
      </c>
      <c r="M43" s="9">
        <f>(H43/1000)*n_Manning/SQRT(K_sss/100)/B43^(13/6)</f>
      </c>
      <c r="N43" s="10">
        <f>(1/n_Manning)*SQRT(K_sc/100)*E43*G43^(1/6)*1000</f>
      </c>
      <c r="O43" s="10">
        <f>N43/f_sc</f>
      </c>
      <c r="P43" s="8">
        <f>K_sc/G43</f>
      </c>
    </row>
    <row r="44">
      <c r="A44" s="18">
        <v>225.0</v>
      </c>
      <c r="B44" s="13">
        <f>A44/1000</f>
      </c>
      <c r="C44" s="16">
        <v>0.95</v>
      </c>
      <c r="D44" s="14">
        <f>2*ACOS(1-2*C44)</f>
      </c>
      <c r="E44" s="9">
        <f>B44^2*(D44-SIN(D44))/8</f>
      </c>
      <c r="F44" s="9">
        <f>B44*D44/2</f>
      </c>
      <c r="G44" s="9">
        <f>E44/F44</f>
      </c>
      <c r="H44" s="10">
        <f>(1/n_Manning)*SQRT(K_sss/100)*E44*G44^(1/6)*1000</f>
      </c>
      <c r="I44" s="10">
        <f>H44/f_sss</f>
      </c>
      <c r="J44" s="8">
        <f>K_sss/G44</f>
      </c>
      <c r="K44" s="12">
        <f>100/J44</f>
      </c>
      <c r="L44" s="10">
        <f>(H44/1000)/E44</f>
      </c>
      <c r="M44" s="9">
        <f>(H44/1000)*n_Manning/SQRT(K_sss/100)/B44^(13/6)</f>
      </c>
      <c r="N44" s="10">
        <f>(1/n_Manning)*SQRT(K_sc/100)*E44*G44^(1/6)*1000</f>
      </c>
      <c r="O44" s="10">
        <f>N44/f_sc</f>
      </c>
      <c r="P44" s="8">
        <f>K_sc/G44</f>
      </c>
    </row>
    <row r="45">
      <c r="A45" s="18">
        <v>225.0</v>
      </c>
      <c r="B45" s="13">
        <f>A45/1000</f>
      </c>
      <c r="C45" s="16">
        <v>1.0</v>
      </c>
      <c r="D45" s="14">
        <f>2*ACOS(1-2*C45)</f>
      </c>
      <c r="E45" s="9">
        <f>B45^2*(D45-SIN(D45))/8</f>
      </c>
      <c r="F45" s="9">
        <f>B45*D45/2</f>
      </c>
      <c r="G45" s="9">
        <f>E45/F45</f>
      </c>
      <c r="H45" s="10">
        <f>(1/n_Manning)*SQRT(K_sss/100)*E45*G45^(1/6)*1000</f>
      </c>
      <c r="I45" s="10">
        <f>H45/f_sss</f>
      </c>
      <c r="J45" s="8">
        <f>K_sss/G45</f>
      </c>
      <c r="K45" s="12">
        <f>100/J45</f>
      </c>
      <c r="L45" s="10">
        <f>(H45/1000)/E45</f>
      </c>
      <c r="M45" s="9">
        <f>(H45/1000)*n_Manning/SQRT(K_sss/100)/B45^(13/6)</f>
      </c>
      <c r="N45" s="10">
        <f>(1/n_Manning)*SQRT(K_sc/100)*E45*G45^(1/6)*1000</f>
      </c>
      <c r="O45" s="10">
        <f>N45/f_sc</f>
      </c>
      <c r="P45" s="8">
        <f>K_sc/G45</f>
      </c>
    </row>
    <row r="47">
      <c r="A47" s="18">
        <v>300.0</v>
      </c>
      <c r="B47" s="13">
        <f>A47/1000</f>
      </c>
      <c r="C47" s="16">
        <v>0.05</v>
      </c>
      <c r="D47" s="14">
        <f>2*ACOS(1-2*C47)</f>
      </c>
      <c r="E47" s="9">
        <f>B47^2*(D47-SIN(D47))/8</f>
      </c>
      <c r="F47" s="9">
        <f>B47*D47/2</f>
      </c>
      <c r="G47" s="9">
        <f>E47/F47</f>
      </c>
      <c r="H47" s="10">
        <f>(1/n_Manning)*SQRT(K_sss/100)*E47*G47^(1/6)*1000</f>
      </c>
      <c r="I47" s="10">
        <f>H47/f_sss</f>
      </c>
      <c r="J47" s="8">
        <f>K_sss/G47</f>
      </c>
      <c r="K47" s="12">
        <f>100/J47</f>
      </c>
      <c r="L47" s="10">
        <f>(H47/1000)/E47</f>
      </c>
      <c r="M47" s="9">
        <f>(H47/1000)*n_Manning/SQRT(K_sss/100)/B47^(13/6)</f>
      </c>
      <c r="N47" s="10">
        <f>(1/n_Manning)*SQRT(K_sc/100)*E47*G47^(1/6)*1000</f>
      </c>
      <c r="O47" s="10">
        <f>N47/f_sc</f>
      </c>
      <c r="P47" s="8">
        <f>K_sc/G47</f>
      </c>
    </row>
    <row r="48">
      <c r="A48" s="18">
        <v>300.0</v>
      </c>
      <c r="B48" s="13">
        <f>A48/1000</f>
      </c>
      <c r="C48" s="16">
        <v>0.1</v>
      </c>
      <c r="D48" s="14">
        <f>2*ACOS(1-2*C48)</f>
      </c>
      <c r="E48" s="9">
        <f>B48^2*(D48-SIN(D48))/8</f>
      </c>
      <c r="F48" s="9">
        <f>B48*D48/2</f>
      </c>
      <c r="G48" s="9">
        <f>E48/F48</f>
      </c>
      <c r="H48" s="10">
        <f>(1/n_Manning)*SQRT(K_sss/100)*E48*G48^(1/6)*1000</f>
      </c>
      <c r="I48" s="10">
        <f>H48/f_sss</f>
      </c>
      <c r="J48" s="8">
        <f>K_sss/G48</f>
      </c>
      <c r="K48" s="12">
        <f>100/J48</f>
      </c>
      <c r="L48" s="10">
        <f>(H48/1000)/E48</f>
      </c>
      <c r="M48" s="9">
        <f>(H48/1000)*n_Manning/SQRT(K_sss/100)/B48^(13/6)</f>
      </c>
      <c r="N48" s="10">
        <f>(1/n_Manning)*SQRT(K_sc/100)*E48*G48^(1/6)*1000</f>
      </c>
      <c r="O48" s="10">
        <f>N48/f_sc</f>
      </c>
      <c r="P48" s="8">
        <f>K_sc/G48</f>
      </c>
    </row>
    <row r="49">
      <c r="A49" s="18">
        <v>300.0</v>
      </c>
      <c r="B49" s="13">
        <f>A49/1000</f>
      </c>
      <c r="C49" s="16">
        <v>0.15</v>
      </c>
      <c r="D49" s="14">
        <f>2*ACOS(1-2*C49)</f>
      </c>
      <c r="E49" s="9">
        <f>B49^2*(D49-SIN(D49))/8</f>
      </c>
      <c r="F49" s="9">
        <f>B49*D49/2</f>
      </c>
      <c r="G49" s="9">
        <f>E49/F49</f>
      </c>
      <c r="H49" s="10">
        <f>(1/n_Manning)*SQRT(K_sss/100)*E49*G49^(1/6)*1000</f>
      </c>
      <c r="I49" s="10">
        <f>H49/f_sss</f>
      </c>
      <c r="J49" s="8">
        <f>K_sss/G49</f>
      </c>
      <c r="K49" s="12">
        <f>100/J49</f>
      </c>
      <c r="L49" s="10">
        <f>(H49/1000)/E49</f>
      </c>
      <c r="M49" s="9">
        <f>(H49/1000)*n_Manning/SQRT(K_sss/100)/B49^(13/6)</f>
      </c>
      <c r="N49" s="10">
        <f>(1/n_Manning)*SQRT(K_sc/100)*E49*G49^(1/6)*1000</f>
      </c>
      <c r="O49" s="10">
        <f>N49/f_sc</f>
      </c>
      <c r="P49" s="8">
        <f>K_sc/G49</f>
      </c>
    </row>
    <row r="50">
      <c r="A50" s="18">
        <v>300.0</v>
      </c>
      <c r="B50" s="13">
        <f>A50/1000</f>
      </c>
      <c r="C50" s="16">
        <v>0.2</v>
      </c>
      <c r="D50" s="14">
        <f>2*ACOS(1-2*C50)</f>
      </c>
      <c r="E50" s="9">
        <f>B50^2*(D50-SIN(D50))/8</f>
      </c>
      <c r="F50" s="9">
        <f>B50*D50/2</f>
      </c>
      <c r="G50" s="9">
        <f>E50/F50</f>
      </c>
      <c r="H50" s="10">
        <f>(1/n_Manning)*SQRT(K_sss/100)*E50*G50^(1/6)*1000</f>
      </c>
      <c r="I50" s="10">
        <f>H50/f_sss</f>
      </c>
      <c r="J50" s="8">
        <f>K_sss/G50</f>
      </c>
      <c r="K50" s="12">
        <f>100/J50</f>
      </c>
      <c r="L50" s="10">
        <f>(H50/1000)/E50</f>
      </c>
      <c r="M50" s="9">
        <f>(H50/1000)*n_Manning/SQRT(K_sss/100)/B50^(13/6)</f>
      </c>
      <c r="N50" s="10">
        <f>(1/n_Manning)*SQRT(K_sc/100)*E50*G50^(1/6)*1000</f>
      </c>
      <c r="O50" s="10">
        <f>N50/f_sc</f>
      </c>
      <c r="P50" s="8">
        <f>K_sc/G50</f>
      </c>
    </row>
    <row r="51">
      <c r="A51" s="18">
        <v>300.0</v>
      </c>
      <c r="B51" s="13">
        <f>A51/1000</f>
      </c>
      <c r="C51" s="16">
        <v>0.25</v>
      </c>
      <c r="D51" s="14">
        <f>2*ACOS(1-2*C51)</f>
      </c>
      <c r="E51" s="9">
        <f>B51^2*(D51-SIN(D51))/8</f>
      </c>
      <c r="F51" s="9">
        <f>B51*D51/2</f>
      </c>
      <c r="G51" s="9">
        <f>E51/F51</f>
      </c>
      <c r="H51" s="10">
        <f>(1/n_Manning)*SQRT(K_sss/100)*E51*G51^(1/6)*1000</f>
      </c>
      <c r="I51" s="10">
        <f>H51/f_sss</f>
      </c>
      <c r="J51" s="8">
        <f>K_sss/G51</f>
      </c>
      <c r="K51" s="12">
        <f>100/J51</f>
      </c>
      <c r="L51" s="10">
        <f>(H51/1000)/E51</f>
      </c>
      <c r="M51" s="9">
        <f>(H51/1000)*n_Manning/SQRT(K_sss/100)/B51^(13/6)</f>
      </c>
      <c r="N51" s="10">
        <f>(1/n_Manning)*SQRT(K_sc/100)*E51*G51^(1/6)*1000</f>
      </c>
      <c r="O51" s="10">
        <f>N51/f_sc</f>
      </c>
      <c r="P51" s="8">
        <f>K_sc/G51</f>
      </c>
    </row>
    <row r="52">
      <c r="A52" s="18">
        <v>300.0</v>
      </c>
      <c r="B52" s="13">
        <f>A52/1000</f>
      </c>
      <c r="C52" s="16">
        <v>0.3</v>
      </c>
      <c r="D52" s="14">
        <f>2*ACOS(1-2*C52)</f>
      </c>
      <c r="E52" s="9">
        <f>B52^2*(D52-SIN(D52))/8</f>
      </c>
      <c r="F52" s="9">
        <f>B52*D52/2</f>
      </c>
      <c r="G52" s="9">
        <f>E52/F52</f>
      </c>
      <c r="H52" s="10">
        <f>(1/n_Manning)*SQRT(K_sss/100)*E52*G52^(1/6)*1000</f>
      </c>
      <c r="I52" s="10">
        <f>H52/f_sss</f>
      </c>
      <c r="J52" s="8">
        <f>K_sss/G52</f>
      </c>
      <c r="K52" s="12">
        <f>100/J52</f>
      </c>
      <c r="L52" s="10">
        <f>(H52/1000)/E52</f>
      </c>
      <c r="M52" s="9">
        <f>(H52/1000)*n_Manning/SQRT(K_sss/100)/B52^(13/6)</f>
      </c>
      <c r="N52" s="10">
        <f>(1/n_Manning)*SQRT(K_sc/100)*E52*G52^(1/6)*1000</f>
      </c>
      <c r="O52" s="10">
        <f>N52/f_sc</f>
      </c>
      <c r="P52" s="8">
        <f>K_sc/G52</f>
      </c>
    </row>
    <row r="53">
      <c r="A53" s="18">
        <v>300.0</v>
      </c>
      <c r="B53" s="13">
        <f>A53/1000</f>
      </c>
      <c r="C53" s="16">
        <v>0.35</v>
      </c>
      <c r="D53" s="14">
        <f>2*ACOS(1-2*C53)</f>
      </c>
      <c r="E53" s="9">
        <f>B53^2*(D53-SIN(D53))/8</f>
      </c>
      <c r="F53" s="9">
        <f>B53*D53/2</f>
      </c>
      <c r="G53" s="9">
        <f>E53/F53</f>
      </c>
      <c r="H53" s="10">
        <f>(1/n_Manning)*SQRT(K_sss/100)*E53*G53^(1/6)*1000</f>
      </c>
      <c r="I53" s="10">
        <f>H53/f_sss</f>
      </c>
      <c r="J53" s="8">
        <f>K_sss/G53</f>
      </c>
      <c r="K53" s="12">
        <f>100/J53</f>
      </c>
      <c r="L53" s="10">
        <f>(H53/1000)/E53</f>
      </c>
      <c r="M53" s="9">
        <f>(H53/1000)*n_Manning/SQRT(K_sss/100)/B53^(13/6)</f>
      </c>
      <c r="N53" s="10">
        <f>(1/n_Manning)*SQRT(K_sc/100)*E53*G53^(1/6)*1000</f>
      </c>
      <c r="O53" s="10">
        <f>N53/f_sc</f>
      </c>
      <c r="P53" s="8">
        <f>K_sc/G53</f>
      </c>
    </row>
    <row r="54">
      <c r="A54" s="18">
        <v>300.0</v>
      </c>
      <c r="B54" s="13">
        <f>A54/1000</f>
      </c>
      <c r="C54" s="16">
        <v>0.4</v>
      </c>
      <c r="D54" s="14">
        <f>2*ACOS(1-2*C54)</f>
      </c>
      <c r="E54" s="9">
        <f>B54^2*(D54-SIN(D54))/8</f>
      </c>
      <c r="F54" s="9">
        <f>B54*D54/2</f>
      </c>
      <c r="G54" s="9">
        <f>E54/F54</f>
      </c>
      <c r="H54" s="10">
        <f>(1/n_Manning)*SQRT(K_sss/100)*E54*G54^(1/6)*1000</f>
      </c>
      <c r="I54" s="10">
        <f>H54/f_sss</f>
      </c>
      <c r="J54" s="8">
        <f>K_sss/G54</f>
      </c>
      <c r="K54" s="12">
        <f>100/J54</f>
      </c>
      <c r="L54" s="10">
        <f>(H54/1000)/E54</f>
      </c>
      <c r="M54" s="9">
        <f>(H54/1000)*n_Manning/SQRT(K_sss/100)/B54^(13/6)</f>
      </c>
      <c r="N54" s="10">
        <f>(1/n_Manning)*SQRT(K_sc/100)*E54*G54^(1/6)*1000</f>
      </c>
      <c r="O54" s="10">
        <f>N54/f_sc</f>
      </c>
      <c r="P54" s="8">
        <f>K_sc/G54</f>
      </c>
    </row>
    <row r="55">
      <c r="A55" s="18">
        <v>300.0</v>
      </c>
      <c r="B55" s="13">
        <f>A55/1000</f>
      </c>
      <c r="C55" s="16">
        <v>0.45</v>
      </c>
      <c r="D55" s="14">
        <f>2*ACOS(1-2*C55)</f>
      </c>
      <c r="E55" s="9">
        <f>B55^2*(D55-SIN(D55))/8</f>
      </c>
      <c r="F55" s="9">
        <f>B55*D55/2</f>
      </c>
      <c r="G55" s="9">
        <f>E55/F55</f>
      </c>
      <c r="H55" s="10">
        <f>(1/n_Manning)*SQRT(K_sss/100)*E55*G55^(1/6)*1000</f>
      </c>
      <c r="I55" s="10">
        <f>H55/f_sss</f>
      </c>
      <c r="J55" s="8">
        <f>K_sss/G55</f>
      </c>
      <c r="K55" s="12">
        <f>100/J55</f>
      </c>
      <c r="L55" s="10">
        <f>(H55/1000)/E55</f>
      </c>
      <c r="M55" s="9">
        <f>(H55/1000)*n_Manning/SQRT(K_sss/100)/B55^(13/6)</f>
      </c>
      <c r="N55" s="10">
        <f>(1/n_Manning)*SQRT(K_sc/100)*E55*G55^(1/6)*1000</f>
      </c>
      <c r="O55" s="10">
        <f>N55/f_sc</f>
      </c>
      <c r="P55" s="8">
        <f>K_sc/G55</f>
      </c>
    </row>
    <row r="56">
      <c r="A56" s="18">
        <v>300.0</v>
      </c>
      <c r="B56" s="13">
        <f>A56/1000</f>
      </c>
      <c r="C56" s="16">
        <v>0.5</v>
      </c>
      <c r="D56" s="14">
        <f>2*ACOS(1-2*C56)</f>
      </c>
      <c r="E56" s="9">
        <f>B56^2*(D56-SIN(D56))/8</f>
      </c>
      <c r="F56" s="9">
        <f>B56*D56/2</f>
      </c>
      <c r="G56" s="9">
        <f>E56/F56</f>
      </c>
      <c r="H56" s="10">
        <f>(1/n_Manning)*SQRT(K_sss/100)*E56*G56^(1/6)*1000</f>
      </c>
      <c r="I56" s="10">
        <f>H56/f_sss</f>
      </c>
      <c r="J56" s="8">
        <f>K_sss/G56</f>
      </c>
      <c r="K56" s="12">
        <f>100/J56</f>
      </c>
      <c r="L56" s="10">
        <f>(H56/1000)/E56</f>
      </c>
      <c r="M56" s="9">
        <f>(H56/1000)*n_Manning/SQRT(K_sss/100)/B56^(13/6)</f>
      </c>
      <c r="N56" s="10">
        <f>(1/n_Manning)*SQRT(K_sc/100)*E56*G56^(1/6)*1000</f>
      </c>
      <c r="O56" s="10">
        <f>N56/f_sc</f>
      </c>
      <c r="P56" s="8">
        <f>K_sc/G56</f>
      </c>
    </row>
    <row r="57">
      <c r="A57" s="18">
        <v>300.0</v>
      </c>
      <c r="B57" s="13">
        <f>A57/1000</f>
      </c>
      <c r="C57" s="16">
        <v>0.55</v>
      </c>
      <c r="D57" s="14">
        <f>2*ACOS(1-2*C57)</f>
      </c>
      <c r="E57" s="9">
        <f>B57^2*(D57-SIN(D57))/8</f>
      </c>
      <c r="F57" s="9">
        <f>B57*D57/2</f>
      </c>
      <c r="G57" s="9">
        <f>E57/F57</f>
      </c>
      <c r="H57" s="10">
        <f>(1/n_Manning)*SQRT(K_sss/100)*E57*G57^(1/6)*1000</f>
      </c>
      <c r="I57" s="10">
        <f>H57/f_sss</f>
      </c>
      <c r="J57" s="8">
        <f>K_sss/G57</f>
      </c>
      <c r="K57" s="12">
        <f>100/J57</f>
      </c>
      <c r="L57" s="10">
        <f>(H57/1000)/E57</f>
      </c>
      <c r="M57" s="9">
        <f>(H57/1000)*n_Manning/SQRT(K_sss/100)/B57^(13/6)</f>
      </c>
      <c r="N57" s="10">
        <f>(1/n_Manning)*SQRT(K_sc/100)*E57*G57^(1/6)*1000</f>
      </c>
      <c r="O57" s="10">
        <f>N57/f_sc</f>
      </c>
      <c r="P57" s="8">
        <f>K_sc/G57</f>
      </c>
    </row>
    <row r="58">
      <c r="A58" s="18">
        <v>300.0</v>
      </c>
      <c r="B58" s="13">
        <f>A58/1000</f>
      </c>
      <c r="C58" s="16">
        <v>0.6</v>
      </c>
      <c r="D58" s="14">
        <f>2*ACOS(1-2*C58)</f>
      </c>
      <c r="E58" s="9">
        <f>B58^2*(D58-SIN(D58))/8</f>
      </c>
      <c r="F58" s="9">
        <f>B58*D58/2</f>
      </c>
      <c r="G58" s="9">
        <f>E58/F58</f>
      </c>
      <c r="H58" s="10">
        <f>(1/n_Manning)*SQRT(K_sss/100)*E58*G58^(1/6)*1000</f>
      </c>
      <c r="I58" s="10">
        <f>H58/f_sss</f>
      </c>
      <c r="J58" s="8">
        <f>K_sss/G58</f>
      </c>
      <c r="K58" s="12">
        <f>100/J58</f>
      </c>
      <c r="L58" s="10">
        <f>(H58/1000)/E58</f>
      </c>
      <c r="M58" s="9">
        <f>(H58/1000)*n_Manning/SQRT(K_sss/100)/B58^(13/6)</f>
      </c>
      <c r="N58" s="10">
        <f>(1/n_Manning)*SQRT(K_sc/100)*E58*G58^(1/6)*1000</f>
      </c>
      <c r="O58" s="10">
        <f>N58/f_sc</f>
      </c>
      <c r="P58" s="8">
        <f>K_sc/G58</f>
      </c>
    </row>
    <row r="59">
      <c r="A59" s="18">
        <v>300.0</v>
      </c>
      <c r="B59" s="13">
        <f>A59/1000</f>
      </c>
      <c r="C59" s="16">
        <v>0.65</v>
      </c>
      <c r="D59" s="14">
        <f>2*ACOS(1-2*C59)</f>
      </c>
      <c r="E59" s="9">
        <f>B59^2*(D59-SIN(D59))/8</f>
      </c>
      <c r="F59" s="9">
        <f>B59*D59/2</f>
      </c>
      <c r="G59" s="9">
        <f>E59/F59</f>
      </c>
      <c r="H59" s="10">
        <f>(1/n_Manning)*SQRT(K_sss/100)*E59*G59^(1/6)*1000</f>
      </c>
      <c r="I59" s="10">
        <f>H59/f_sss</f>
      </c>
      <c r="J59" s="8">
        <f>K_sss/G59</f>
      </c>
      <c r="K59" s="12">
        <f>100/J59</f>
      </c>
      <c r="L59" s="10">
        <f>(H59/1000)/E59</f>
      </c>
      <c r="M59" s="9">
        <f>(H59/1000)*n_Manning/SQRT(K_sss/100)/B59^(13/6)</f>
      </c>
      <c r="N59" s="10">
        <f>(1/n_Manning)*SQRT(K_sc/100)*E59*G59^(1/6)*1000</f>
      </c>
      <c r="O59" s="10">
        <f>N59/f_sc</f>
      </c>
      <c r="P59" s="8">
        <f>K_sc/G59</f>
      </c>
    </row>
    <row r="60">
      <c r="A60" s="18">
        <v>300.0</v>
      </c>
      <c r="B60" s="13">
        <f>A60/1000</f>
      </c>
      <c r="C60" s="16">
        <v>0.7</v>
      </c>
      <c r="D60" s="14">
        <f>2*ACOS(1-2*C60)</f>
      </c>
      <c r="E60" s="9">
        <f>B60^2*(D60-SIN(D60))/8</f>
      </c>
      <c r="F60" s="9">
        <f>B60*D60/2</f>
      </c>
      <c r="G60" s="9">
        <f>E60/F60</f>
      </c>
      <c r="H60" s="10">
        <f>(1/n_Manning)*SQRT(K_sss/100)*E60*G60^(1/6)*1000</f>
      </c>
      <c r="I60" s="10">
        <f>H60/f_sss</f>
      </c>
      <c r="J60" s="8">
        <f>K_sss/G60</f>
      </c>
      <c r="K60" s="12">
        <f>100/J60</f>
      </c>
      <c r="L60" s="10">
        <f>(H60/1000)/E60</f>
      </c>
      <c r="M60" s="9">
        <f>(H60/1000)*n_Manning/SQRT(K_sss/100)/B60^(13/6)</f>
      </c>
      <c r="N60" s="10">
        <f>(1/n_Manning)*SQRT(K_sc/100)*E60*G60^(1/6)*1000</f>
      </c>
      <c r="O60" s="10">
        <f>N60/f_sc</f>
      </c>
      <c r="P60" s="8">
        <f>K_sc/G60</f>
      </c>
    </row>
    <row r="61">
      <c r="A61" s="18">
        <v>300.0</v>
      </c>
      <c r="B61" s="13">
        <f>A61/1000</f>
      </c>
      <c r="C61" s="16">
        <v>0.75</v>
      </c>
      <c r="D61" s="14">
        <f>2*ACOS(1-2*C61)</f>
      </c>
      <c r="E61" s="9">
        <f>B61^2*(D61-SIN(D61))/8</f>
      </c>
      <c r="F61" s="9">
        <f>B61*D61/2</f>
      </c>
      <c r="G61" s="9">
        <f>E61/F61</f>
      </c>
      <c r="H61" s="10">
        <f>(1/n_Manning)*SQRT(K_sss/100)*E61*G61^(1/6)*1000</f>
      </c>
      <c r="I61" s="10">
        <f>H61/f_sss</f>
      </c>
      <c r="J61" s="8">
        <f>K_sss/G61</f>
      </c>
      <c r="K61" s="12">
        <f>100/J61</f>
      </c>
      <c r="L61" s="10">
        <f>(H61/1000)/E61</f>
      </c>
      <c r="M61" s="9">
        <f>(H61/1000)*n_Manning/SQRT(K_sss/100)/B61^(13/6)</f>
      </c>
      <c r="N61" s="10">
        <f>(1/n_Manning)*SQRT(K_sc/100)*E61*G61^(1/6)*1000</f>
      </c>
      <c r="O61" s="10">
        <f>N61/f_sc</f>
      </c>
      <c r="P61" s="8">
        <f>K_sc/G61</f>
      </c>
    </row>
    <row r="62">
      <c r="A62" s="18">
        <v>300.0</v>
      </c>
      <c r="B62" s="13">
        <f>A62/1000</f>
      </c>
      <c r="C62" s="16">
        <v>0.8</v>
      </c>
      <c r="D62" s="14">
        <f>2*ACOS(1-2*C62)</f>
      </c>
      <c r="E62" s="9">
        <f>B62^2*(D62-SIN(D62))/8</f>
      </c>
      <c r="F62" s="9">
        <f>B62*D62/2</f>
      </c>
      <c r="G62" s="9">
        <f>E62/F62</f>
      </c>
      <c r="H62" s="10">
        <f>(1/n_Manning)*SQRT(K_sss/100)*E62*G62^(1/6)*1000</f>
      </c>
      <c r="I62" s="10">
        <f>H62/f_sss</f>
      </c>
      <c r="J62" s="8">
        <f>K_sss/G62</f>
      </c>
      <c r="K62" s="12">
        <f>100/J62</f>
      </c>
      <c r="L62" s="10">
        <f>(H62/1000)/E62</f>
      </c>
      <c r="M62" s="9">
        <f>(H62/1000)*n_Manning/SQRT(K_sss/100)/B62^(13/6)</f>
      </c>
      <c r="N62" s="10">
        <f>(1/n_Manning)*SQRT(K_sc/100)*E62*G62^(1/6)*1000</f>
      </c>
      <c r="O62" s="10">
        <f>N62/f_sc</f>
      </c>
      <c r="P62" s="8">
        <f>K_sc/G62</f>
      </c>
    </row>
    <row r="63">
      <c r="A63" s="18">
        <v>300.0</v>
      </c>
      <c r="B63" s="13">
        <f>A63/1000</f>
      </c>
      <c r="C63" s="16">
        <v>0.85</v>
      </c>
      <c r="D63" s="14">
        <f>2*ACOS(1-2*C63)</f>
      </c>
      <c r="E63" s="9">
        <f>B63^2*(D63-SIN(D63))/8</f>
      </c>
      <c r="F63" s="9">
        <f>B63*D63/2</f>
      </c>
      <c r="G63" s="9">
        <f>E63/F63</f>
      </c>
      <c r="H63" s="10">
        <f>(1/n_Manning)*SQRT(K_sss/100)*E63*G63^(1/6)*1000</f>
      </c>
      <c r="I63" s="10">
        <f>H63/f_sss</f>
      </c>
      <c r="J63" s="8">
        <f>K_sss/G63</f>
      </c>
      <c r="K63" s="12">
        <f>100/J63</f>
      </c>
      <c r="L63" s="10">
        <f>(H63/1000)/E63</f>
      </c>
      <c r="M63" s="9">
        <f>(H63/1000)*n_Manning/SQRT(K_sss/100)/B63^(13/6)</f>
      </c>
      <c r="N63" s="10">
        <f>(1/n_Manning)*SQRT(K_sc/100)*E63*G63^(1/6)*1000</f>
      </c>
      <c r="O63" s="10">
        <f>N63/f_sc</f>
      </c>
      <c r="P63" s="8">
        <f>K_sc/G63</f>
      </c>
    </row>
    <row r="64">
      <c r="A64" s="18">
        <v>300.0</v>
      </c>
      <c r="B64" s="13">
        <f>A64/1000</f>
      </c>
      <c r="C64" s="16">
        <v>0.9</v>
      </c>
      <c r="D64" s="14">
        <f>2*ACOS(1-2*C64)</f>
      </c>
      <c r="E64" s="9">
        <f>B64^2*(D64-SIN(D64))/8</f>
      </c>
      <c r="F64" s="9">
        <f>B64*D64/2</f>
      </c>
      <c r="G64" s="9">
        <f>E64/F64</f>
      </c>
      <c r="H64" s="10">
        <f>(1/n_Manning)*SQRT(K_sss/100)*E64*G64^(1/6)*1000</f>
      </c>
      <c r="I64" s="10">
        <f>H64/f_sss</f>
      </c>
      <c r="J64" s="8">
        <f>K_sss/G64</f>
      </c>
      <c r="K64" s="12">
        <f>100/J64</f>
      </c>
      <c r="L64" s="10">
        <f>(H64/1000)/E64</f>
      </c>
      <c r="M64" s="9">
        <f>(H64/1000)*n_Manning/SQRT(K_sss/100)/B64^(13/6)</f>
      </c>
      <c r="N64" s="10">
        <f>(1/n_Manning)*SQRT(K_sc/100)*E64*G64^(1/6)*1000</f>
      </c>
      <c r="O64" s="10">
        <f>N64/f_sc</f>
      </c>
      <c r="P64" s="8">
        <f>K_sc/G64</f>
      </c>
    </row>
    <row r="65">
      <c r="A65" s="18">
        <v>300.0</v>
      </c>
      <c r="B65" s="13">
        <f>A65/1000</f>
      </c>
      <c r="C65" s="16">
        <v>0.95</v>
      </c>
      <c r="D65" s="14">
        <f>2*ACOS(1-2*C65)</f>
      </c>
      <c r="E65" s="9">
        <f>B65^2*(D65-SIN(D65))/8</f>
      </c>
      <c r="F65" s="9">
        <f>B65*D65/2</f>
      </c>
      <c r="G65" s="9">
        <f>E65/F65</f>
      </c>
      <c r="H65" s="10">
        <f>(1/n_Manning)*SQRT(K_sss/100)*E65*G65^(1/6)*1000</f>
      </c>
      <c r="I65" s="10">
        <f>H65/f_sss</f>
      </c>
      <c r="J65" s="8">
        <f>K_sss/G65</f>
      </c>
      <c r="K65" s="12">
        <f>100/J65</f>
      </c>
      <c r="L65" s="10">
        <f>(H65/1000)/E65</f>
      </c>
      <c r="M65" s="9">
        <f>(H65/1000)*n_Manning/SQRT(K_sss/100)/B65^(13/6)</f>
      </c>
      <c r="N65" s="10">
        <f>(1/n_Manning)*SQRT(K_sc/100)*E65*G65^(1/6)*1000</f>
      </c>
      <c r="O65" s="10">
        <f>N65/f_sc</f>
      </c>
      <c r="P65" s="8">
        <f>K_sc/G65</f>
      </c>
    </row>
    <row r="66">
      <c r="A66" s="18">
        <v>300.0</v>
      </c>
      <c r="B66" s="13">
        <f>A66/1000</f>
      </c>
      <c r="C66" s="16">
        <v>1.0</v>
      </c>
      <c r="D66" s="14">
        <f>2*ACOS(1-2*C66)</f>
      </c>
      <c r="E66" s="9">
        <f>B66^2*(D66-SIN(D66))/8</f>
      </c>
      <c r="F66" s="9">
        <f>B66*D66/2</f>
      </c>
      <c r="G66" s="9">
        <f>E66/F66</f>
      </c>
      <c r="H66" s="10">
        <f>(1/n_Manning)*SQRT(K_sss/100)*E66*G66^(1/6)*1000</f>
      </c>
      <c r="I66" s="10">
        <f>H66/f_sss</f>
      </c>
      <c r="J66" s="8">
        <f>K_sss/G66</f>
      </c>
      <c r="K66" s="12">
        <f>100/J66</f>
      </c>
      <c r="L66" s="10">
        <f>(H66/1000)/E66</f>
      </c>
      <c r="M66" s="9">
        <f>(H66/1000)*n_Manning/SQRT(K_sss/100)/B66^(13/6)</f>
      </c>
      <c r="N66" s="10">
        <f>(1/n_Manning)*SQRT(K_sc/100)*E66*G66^(1/6)*1000</f>
      </c>
      <c r="O66" s="10">
        <f>N66/f_sc</f>
      </c>
      <c r="P66" s="8">
        <f>K_sc/G66</f>
      </c>
    </row>
    <row r="68">
      <c r="A68" s="18">
        <v>375.0</v>
      </c>
      <c r="B68" s="13">
        <f>A68/1000</f>
      </c>
      <c r="C68" s="16">
        <v>0.05</v>
      </c>
      <c r="D68" s="14">
        <f>2*ACOS(1-2*C68)</f>
      </c>
      <c r="E68" s="9">
        <f>B68^2*(D68-SIN(D68))/8</f>
      </c>
      <c r="F68" s="9">
        <f>B68*D68/2</f>
      </c>
      <c r="G68" s="9">
        <f>E68/F68</f>
      </c>
      <c r="H68" s="10">
        <f>(1/n_Manning)*SQRT(K_sss/100)*E68*G68^(1/6)*1000</f>
      </c>
      <c r="I68" s="10">
        <f>H68/f_sss</f>
      </c>
      <c r="J68" s="8">
        <f>K_sss/G68</f>
      </c>
      <c r="K68" s="12">
        <f>100/J68</f>
      </c>
      <c r="L68" s="10">
        <f>(H68/1000)/E68</f>
      </c>
      <c r="M68" s="9">
        <f>(H68/1000)*n_Manning/SQRT(K_sss/100)/B68^(13/6)</f>
      </c>
      <c r="N68" s="10">
        <f>(1/n_Manning)*SQRT(K_sc/100)*E68*G68^(1/6)*1000</f>
      </c>
      <c r="O68" s="10">
        <f>N68/f_sc</f>
      </c>
      <c r="P68" s="8">
        <f>K_sc/G68</f>
      </c>
    </row>
    <row r="69">
      <c r="A69" s="18">
        <v>375.0</v>
      </c>
      <c r="B69" s="13">
        <f>A69/1000</f>
      </c>
      <c r="C69" s="16">
        <v>0.1</v>
      </c>
      <c r="D69" s="14">
        <f>2*ACOS(1-2*C69)</f>
      </c>
      <c r="E69" s="9">
        <f>B69^2*(D69-SIN(D69))/8</f>
      </c>
      <c r="F69" s="9">
        <f>B69*D69/2</f>
      </c>
      <c r="G69" s="9">
        <f>E69/F69</f>
      </c>
      <c r="H69" s="10">
        <f>(1/n_Manning)*SQRT(K_sss/100)*E69*G69^(1/6)*1000</f>
      </c>
      <c r="I69" s="10">
        <f>H69/f_sss</f>
      </c>
      <c r="J69" s="8">
        <f>K_sss/G69</f>
      </c>
      <c r="K69" s="12">
        <f>100/J69</f>
      </c>
      <c r="L69" s="10">
        <f>(H69/1000)/E69</f>
      </c>
      <c r="M69" s="9">
        <f>(H69/1000)*n_Manning/SQRT(K_sss/100)/B69^(13/6)</f>
      </c>
      <c r="N69" s="10">
        <f>(1/n_Manning)*SQRT(K_sc/100)*E69*G69^(1/6)*1000</f>
      </c>
      <c r="O69" s="10">
        <f>N69/f_sc</f>
      </c>
      <c r="P69" s="8">
        <f>K_sc/G69</f>
      </c>
    </row>
    <row r="70">
      <c r="A70" s="18">
        <v>375.0</v>
      </c>
      <c r="B70" s="13">
        <f>A70/1000</f>
      </c>
      <c r="C70" s="16">
        <v>0.15</v>
      </c>
      <c r="D70" s="14">
        <f>2*ACOS(1-2*C70)</f>
      </c>
      <c r="E70" s="9">
        <f>B70^2*(D70-SIN(D70))/8</f>
      </c>
      <c r="F70" s="9">
        <f>B70*D70/2</f>
      </c>
      <c r="G70" s="9">
        <f>E70/F70</f>
      </c>
      <c r="H70" s="10">
        <f>(1/n_Manning)*SQRT(K_sss/100)*E70*G70^(1/6)*1000</f>
      </c>
      <c r="I70" s="10">
        <f>H70/f_sss</f>
      </c>
      <c r="J70" s="8">
        <f>K_sss/G70</f>
      </c>
      <c r="K70" s="12">
        <f>100/J70</f>
      </c>
      <c r="L70" s="10">
        <f>(H70/1000)/E70</f>
      </c>
      <c r="M70" s="9">
        <f>(H70/1000)*n_Manning/SQRT(K_sss/100)/B70^(13/6)</f>
      </c>
      <c r="N70" s="10">
        <f>(1/n_Manning)*SQRT(K_sc/100)*E70*G70^(1/6)*1000</f>
      </c>
      <c r="O70" s="10">
        <f>N70/f_sc</f>
      </c>
      <c r="P70" s="8">
        <f>K_sc/G70</f>
      </c>
    </row>
    <row r="71">
      <c r="A71" s="18">
        <v>375.0</v>
      </c>
      <c r="B71" s="13">
        <f>A71/1000</f>
      </c>
      <c r="C71" s="16">
        <v>0.2</v>
      </c>
      <c r="D71" s="14">
        <f>2*ACOS(1-2*C71)</f>
      </c>
      <c r="E71" s="9">
        <f>B71^2*(D71-SIN(D71))/8</f>
      </c>
      <c r="F71" s="9">
        <f>B71*D71/2</f>
      </c>
      <c r="G71" s="9">
        <f>E71/F71</f>
      </c>
      <c r="H71" s="10">
        <f>(1/n_Manning)*SQRT(K_sss/100)*E71*G71^(1/6)*1000</f>
      </c>
      <c r="I71" s="10">
        <f>H71/f_sss</f>
      </c>
      <c r="J71" s="8">
        <f>K_sss/G71</f>
      </c>
      <c r="K71" s="12">
        <f>100/J71</f>
      </c>
      <c r="L71" s="10">
        <f>(H71/1000)/E71</f>
      </c>
      <c r="M71" s="9">
        <f>(H71/1000)*n_Manning/SQRT(K_sss/100)/B71^(13/6)</f>
      </c>
      <c r="N71" s="10">
        <f>(1/n_Manning)*SQRT(K_sc/100)*E71*G71^(1/6)*1000</f>
      </c>
      <c r="O71" s="10">
        <f>N71/f_sc</f>
      </c>
      <c r="P71" s="8">
        <f>K_sc/G71</f>
      </c>
    </row>
    <row r="72">
      <c r="A72" s="18">
        <v>375.0</v>
      </c>
      <c r="B72" s="13">
        <f>A72/1000</f>
      </c>
      <c r="C72" s="16">
        <v>0.25</v>
      </c>
      <c r="D72" s="14">
        <f>2*ACOS(1-2*C72)</f>
      </c>
      <c r="E72" s="9">
        <f>B72^2*(D72-SIN(D72))/8</f>
      </c>
      <c r="F72" s="9">
        <f>B72*D72/2</f>
      </c>
      <c r="G72" s="9">
        <f>E72/F72</f>
      </c>
      <c r="H72" s="10">
        <f>(1/n_Manning)*SQRT(K_sss/100)*E72*G72^(1/6)*1000</f>
      </c>
      <c r="I72" s="10">
        <f>H72/f_sss</f>
      </c>
      <c r="J72" s="8">
        <f>K_sss/G72</f>
      </c>
      <c r="K72" s="12">
        <f>100/J72</f>
      </c>
      <c r="L72" s="10">
        <f>(H72/1000)/E72</f>
      </c>
      <c r="M72" s="9">
        <f>(H72/1000)*n_Manning/SQRT(K_sss/100)/B72^(13/6)</f>
      </c>
      <c r="N72" s="10">
        <f>(1/n_Manning)*SQRT(K_sc/100)*E72*G72^(1/6)*1000</f>
      </c>
      <c r="O72" s="10">
        <f>N72/f_sc</f>
      </c>
      <c r="P72" s="8">
        <f>K_sc/G72</f>
      </c>
    </row>
    <row r="73">
      <c r="A73" s="18">
        <v>375.0</v>
      </c>
      <c r="B73" s="13">
        <f>A73/1000</f>
      </c>
      <c r="C73" s="16">
        <v>0.3</v>
      </c>
      <c r="D73" s="14">
        <f>2*ACOS(1-2*C73)</f>
      </c>
      <c r="E73" s="9">
        <f>B73^2*(D73-SIN(D73))/8</f>
      </c>
      <c r="F73" s="9">
        <f>B73*D73/2</f>
      </c>
      <c r="G73" s="9">
        <f>E73/F73</f>
      </c>
      <c r="H73" s="10">
        <f>(1/n_Manning)*SQRT(K_sss/100)*E73*G73^(1/6)*1000</f>
      </c>
      <c r="I73" s="10">
        <f>H73/f_sss</f>
      </c>
      <c r="J73" s="8">
        <f>K_sss/G73</f>
      </c>
      <c r="K73" s="12">
        <f>100/J73</f>
      </c>
      <c r="L73" s="10">
        <f>(H73/1000)/E73</f>
      </c>
      <c r="M73" s="9">
        <f>(H73/1000)*n_Manning/SQRT(K_sss/100)/B73^(13/6)</f>
      </c>
      <c r="N73" s="10">
        <f>(1/n_Manning)*SQRT(K_sc/100)*E73*G73^(1/6)*1000</f>
      </c>
      <c r="O73" s="10">
        <f>N73/f_sc</f>
      </c>
      <c r="P73" s="8">
        <f>K_sc/G73</f>
      </c>
    </row>
    <row r="74">
      <c r="A74" s="18">
        <v>375.0</v>
      </c>
      <c r="B74" s="13">
        <f>A74/1000</f>
      </c>
      <c r="C74" s="16">
        <v>0.35</v>
      </c>
      <c r="D74" s="14">
        <f>2*ACOS(1-2*C74)</f>
      </c>
      <c r="E74" s="9">
        <f>B74^2*(D74-SIN(D74))/8</f>
      </c>
      <c r="F74" s="9">
        <f>B74*D74/2</f>
      </c>
      <c r="G74" s="9">
        <f>E74/F74</f>
      </c>
      <c r="H74" s="10">
        <f>(1/n_Manning)*SQRT(K_sss/100)*E74*G74^(1/6)*1000</f>
      </c>
      <c r="I74" s="10">
        <f>H74/f_sss</f>
      </c>
      <c r="J74" s="8">
        <f>K_sss/G74</f>
      </c>
      <c r="K74" s="12">
        <f>100/J74</f>
      </c>
      <c r="L74" s="10">
        <f>(H74/1000)/E74</f>
      </c>
      <c r="M74" s="9">
        <f>(H74/1000)*n_Manning/SQRT(K_sss/100)/B74^(13/6)</f>
      </c>
      <c r="N74" s="10">
        <f>(1/n_Manning)*SQRT(K_sc/100)*E74*G74^(1/6)*1000</f>
      </c>
      <c r="O74" s="10">
        <f>N74/f_sc</f>
      </c>
      <c r="P74" s="8">
        <f>K_sc/G74</f>
      </c>
    </row>
    <row r="75">
      <c r="A75" s="18">
        <v>375.0</v>
      </c>
      <c r="B75" s="13">
        <f>A75/1000</f>
      </c>
      <c r="C75" s="16">
        <v>0.4</v>
      </c>
      <c r="D75" s="14">
        <f>2*ACOS(1-2*C75)</f>
      </c>
      <c r="E75" s="9">
        <f>B75^2*(D75-SIN(D75))/8</f>
      </c>
      <c r="F75" s="9">
        <f>B75*D75/2</f>
      </c>
      <c r="G75" s="9">
        <f>E75/F75</f>
      </c>
      <c r="H75" s="10">
        <f>(1/n_Manning)*SQRT(K_sss/100)*E75*G75^(1/6)*1000</f>
      </c>
      <c r="I75" s="10">
        <f>H75/f_sss</f>
      </c>
      <c r="J75" s="8">
        <f>K_sss/G75</f>
      </c>
      <c r="K75" s="12">
        <f>100/J75</f>
      </c>
      <c r="L75" s="10">
        <f>(H75/1000)/E75</f>
      </c>
      <c r="M75" s="9">
        <f>(H75/1000)*n_Manning/SQRT(K_sss/100)/B75^(13/6)</f>
      </c>
      <c r="N75" s="10">
        <f>(1/n_Manning)*SQRT(K_sc/100)*E75*G75^(1/6)*1000</f>
      </c>
      <c r="O75" s="10">
        <f>N75/f_sc</f>
      </c>
      <c r="P75" s="8">
        <f>K_sc/G75</f>
      </c>
    </row>
    <row r="76">
      <c r="A76" s="18">
        <v>375.0</v>
      </c>
      <c r="B76" s="13">
        <f>A76/1000</f>
      </c>
      <c r="C76" s="16">
        <v>0.45</v>
      </c>
      <c r="D76" s="14">
        <f>2*ACOS(1-2*C76)</f>
      </c>
      <c r="E76" s="9">
        <f>B76^2*(D76-SIN(D76))/8</f>
      </c>
      <c r="F76" s="9">
        <f>B76*D76/2</f>
      </c>
      <c r="G76" s="9">
        <f>E76/F76</f>
      </c>
      <c r="H76" s="10">
        <f>(1/n_Manning)*SQRT(K_sss/100)*E76*G76^(1/6)*1000</f>
      </c>
      <c r="I76" s="10">
        <f>H76/f_sss</f>
      </c>
      <c r="J76" s="8">
        <f>K_sss/G76</f>
      </c>
      <c r="K76" s="12">
        <f>100/J76</f>
      </c>
      <c r="L76" s="10">
        <f>(H76/1000)/E76</f>
      </c>
      <c r="M76" s="9">
        <f>(H76/1000)*n_Manning/SQRT(K_sss/100)/B76^(13/6)</f>
      </c>
      <c r="N76" s="10">
        <f>(1/n_Manning)*SQRT(K_sc/100)*E76*G76^(1/6)*1000</f>
      </c>
      <c r="O76" s="10">
        <f>N76/f_sc</f>
      </c>
      <c r="P76" s="8">
        <f>K_sc/G76</f>
      </c>
    </row>
    <row r="77">
      <c r="A77" s="18">
        <v>375.0</v>
      </c>
      <c r="B77" s="13">
        <f>A77/1000</f>
      </c>
      <c r="C77" s="16">
        <v>0.5</v>
      </c>
      <c r="D77" s="14">
        <f>2*ACOS(1-2*C77)</f>
      </c>
      <c r="E77" s="9">
        <f>B77^2*(D77-SIN(D77))/8</f>
      </c>
      <c r="F77" s="9">
        <f>B77*D77/2</f>
      </c>
      <c r="G77" s="9">
        <f>E77/F77</f>
      </c>
      <c r="H77" s="10">
        <f>(1/n_Manning)*SQRT(K_sss/100)*E77*G77^(1/6)*1000</f>
      </c>
      <c r="I77" s="10">
        <f>H77/f_sss</f>
      </c>
      <c r="J77" s="8">
        <f>K_sss/G77</f>
      </c>
      <c r="K77" s="12">
        <f>100/J77</f>
      </c>
      <c r="L77" s="10">
        <f>(H77/1000)/E77</f>
      </c>
      <c r="M77" s="9">
        <f>(H77/1000)*n_Manning/SQRT(K_sss/100)/B77^(13/6)</f>
      </c>
      <c r="N77" s="10">
        <f>(1/n_Manning)*SQRT(K_sc/100)*E77*G77^(1/6)*1000</f>
      </c>
      <c r="O77" s="10">
        <f>N77/f_sc</f>
      </c>
      <c r="P77" s="8">
        <f>K_sc/G77</f>
      </c>
    </row>
    <row r="78">
      <c r="A78" s="18">
        <v>375.0</v>
      </c>
      <c r="B78" s="13">
        <f>A78/1000</f>
      </c>
      <c r="C78" s="16">
        <v>0.55</v>
      </c>
      <c r="D78" s="14">
        <f>2*ACOS(1-2*C78)</f>
      </c>
      <c r="E78" s="9">
        <f>B78^2*(D78-SIN(D78))/8</f>
      </c>
      <c r="F78" s="9">
        <f>B78*D78/2</f>
      </c>
      <c r="G78" s="9">
        <f>E78/F78</f>
      </c>
      <c r="H78" s="10">
        <f>(1/n_Manning)*SQRT(K_sss/100)*E78*G78^(1/6)*1000</f>
      </c>
      <c r="I78" s="10">
        <f>H78/f_sss</f>
      </c>
      <c r="J78" s="8">
        <f>K_sss/G78</f>
      </c>
      <c r="K78" s="12">
        <f>100/J78</f>
      </c>
      <c r="L78" s="10">
        <f>(H78/1000)/E78</f>
      </c>
      <c r="M78" s="9">
        <f>(H78/1000)*n_Manning/SQRT(K_sss/100)/B78^(13/6)</f>
      </c>
      <c r="N78" s="10">
        <f>(1/n_Manning)*SQRT(K_sc/100)*E78*G78^(1/6)*1000</f>
      </c>
      <c r="O78" s="10">
        <f>N78/f_sc</f>
      </c>
      <c r="P78" s="8">
        <f>K_sc/G78</f>
      </c>
    </row>
    <row r="79">
      <c r="A79" s="18">
        <v>375.0</v>
      </c>
      <c r="B79" s="13">
        <f>A79/1000</f>
      </c>
      <c r="C79" s="16">
        <v>0.6</v>
      </c>
      <c r="D79" s="14">
        <f>2*ACOS(1-2*C79)</f>
      </c>
      <c r="E79" s="9">
        <f>B79^2*(D79-SIN(D79))/8</f>
      </c>
      <c r="F79" s="9">
        <f>B79*D79/2</f>
      </c>
      <c r="G79" s="9">
        <f>E79/F79</f>
      </c>
      <c r="H79" s="10">
        <f>(1/n_Manning)*SQRT(K_sss/100)*E79*G79^(1/6)*1000</f>
      </c>
      <c r="I79" s="10">
        <f>H79/f_sss</f>
      </c>
      <c r="J79" s="8">
        <f>K_sss/G79</f>
      </c>
      <c r="K79" s="12">
        <f>100/J79</f>
      </c>
      <c r="L79" s="10">
        <f>(H79/1000)/E79</f>
      </c>
      <c r="M79" s="9">
        <f>(H79/1000)*n_Manning/SQRT(K_sss/100)/B79^(13/6)</f>
      </c>
      <c r="N79" s="10">
        <f>(1/n_Manning)*SQRT(K_sc/100)*E79*G79^(1/6)*1000</f>
      </c>
      <c r="O79" s="10">
        <f>N79/f_sc</f>
      </c>
      <c r="P79" s="8">
        <f>K_sc/G79</f>
      </c>
    </row>
    <row r="80">
      <c r="A80" s="18">
        <v>375.0</v>
      </c>
      <c r="B80" s="13">
        <f>A80/1000</f>
      </c>
      <c r="C80" s="16">
        <v>0.65</v>
      </c>
      <c r="D80" s="14">
        <f>2*ACOS(1-2*C80)</f>
      </c>
      <c r="E80" s="9">
        <f>B80^2*(D80-SIN(D80))/8</f>
      </c>
      <c r="F80" s="9">
        <f>B80*D80/2</f>
      </c>
      <c r="G80" s="9">
        <f>E80/F80</f>
      </c>
      <c r="H80" s="10">
        <f>(1/n_Manning)*SQRT(K_sss/100)*E80*G80^(1/6)*1000</f>
      </c>
      <c r="I80" s="10">
        <f>H80/f_sss</f>
      </c>
      <c r="J80" s="8">
        <f>K_sss/G80</f>
      </c>
      <c r="K80" s="12">
        <f>100/J80</f>
      </c>
      <c r="L80" s="10">
        <f>(H80/1000)/E80</f>
      </c>
      <c r="M80" s="9">
        <f>(H80/1000)*n_Manning/SQRT(K_sss/100)/B80^(13/6)</f>
      </c>
      <c r="N80" s="10">
        <f>(1/n_Manning)*SQRT(K_sc/100)*E80*G80^(1/6)*1000</f>
      </c>
      <c r="O80" s="10">
        <f>N80/f_sc</f>
      </c>
      <c r="P80" s="8">
        <f>K_sc/G80</f>
      </c>
    </row>
    <row r="81">
      <c r="A81" s="18">
        <v>375.0</v>
      </c>
      <c r="B81" s="13">
        <f>A81/1000</f>
      </c>
      <c r="C81" s="16">
        <v>0.7</v>
      </c>
      <c r="D81" s="14">
        <f>2*ACOS(1-2*C81)</f>
      </c>
      <c r="E81" s="9">
        <f>B81^2*(D81-SIN(D81))/8</f>
      </c>
      <c r="F81" s="9">
        <f>B81*D81/2</f>
      </c>
      <c r="G81" s="9">
        <f>E81/F81</f>
      </c>
      <c r="H81" s="10">
        <f>(1/n_Manning)*SQRT(K_sss/100)*E81*G81^(1/6)*1000</f>
      </c>
      <c r="I81" s="10">
        <f>H81/f_sss</f>
      </c>
      <c r="J81" s="8">
        <f>K_sss/G81</f>
      </c>
      <c r="K81" s="12">
        <f>100/J81</f>
      </c>
      <c r="L81" s="10">
        <f>(H81/1000)/E81</f>
      </c>
      <c r="M81" s="9">
        <f>(H81/1000)*n_Manning/SQRT(K_sss/100)/B81^(13/6)</f>
      </c>
      <c r="N81" s="10">
        <f>(1/n_Manning)*SQRT(K_sc/100)*E81*G81^(1/6)*1000</f>
      </c>
      <c r="O81" s="10">
        <f>N81/f_sc</f>
      </c>
      <c r="P81" s="8">
        <f>K_sc/G81</f>
      </c>
    </row>
    <row r="82">
      <c r="A82" s="18">
        <v>375.0</v>
      </c>
      <c r="B82" s="13">
        <f>A82/1000</f>
      </c>
      <c r="C82" s="16">
        <v>0.75</v>
      </c>
      <c r="D82" s="14">
        <f>2*ACOS(1-2*C82)</f>
      </c>
      <c r="E82" s="9">
        <f>B82^2*(D82-SIN(D82))/8</f>
      </c>
      <c r="F82" s="9">
        <f>B82*D82/2</f>
      </c>
      <c r="G82" s="9">
        <f>E82/F82</f>
      </c>
      <c r="H82" s="10">
        <f>(1/n_Manning)*SQRT(K_sss/100)*E82*G82^(1/6)*1000</f>
      </c>
      <c r="I82" s="10">
        <f>H82/f_sss</f>
      </c>
      <c r="J82" s="8">
        <f>K_sss/G82</f>
      </c>
      <c r="K82" s="12">
        <f>100/J82</f>
      </c>
      <c r="L82" s="10">
        <f>(H82/1000)/E82</f>
      </c>
      <c r="M82" s="9">
        <f>(H82/1000)*n_Manning/SQRT(K_sss/100)/B82^(13/6)</f>
      </c>
      <c r="N82" s="10">
        <f>(1/n_Manning)*SQRT(K_sc/100)*E82*G82^(1/6)*1000</f>
      </c>
      <c r="O82" s="10">
        <f>N82/f_sc</f>
      </c>
      <c r="P82" s="8">
        <f>K_sc/G82</f>
      </c>
    </row>
    <row r="83">
      <c r="A83" s="18">
        <v>375.0</v>
      </c>
      <c r="B83" s="13">
        <f>A83/1000</f>
      </c>
      <c r="C83" s="16">
        <v>0.8</v>
      </c>
      <c r="D83" s="14">
        <f>2*ACOS(1-2*C83)</f>
      </c>
      <c r="E83" s="9">
        <f>B83^2*(D83-SIN(D83))/8</f>
      </c>
      <c r="F83" s="9">
        <f>B83*D83/2</f>
      </c>
      <c r="G83" s="9">
        <f>E83/F83</f>
      </c>
      <c r="H83" s="10">
        <f>(1/n_Manning)*SQRT(K_sss/100)*E83*G83^(1/6)*1000</f>
      </c>
      <c r="I83" s="10">
        <f>H83/f_sss</f>
      </c>
      <c r="J83" s="8">
        <f>K_sss/G83</f>
      </c>
      <c r="K83" s="12">
        <f>100/J83</f>
      </c>
      <c r="L83" s="10">
        <f>(H83/1000)/E83</f>
      </c>
      <c r="M83" s="9">
        <f>(H83/1000)*n_Manning/SQRT(K_sss/100)/B83^(13/6)</f>
      </c>
      <c r="N83" s="10">
        <f>(1/n_Manning)*SQRT(K_sc/100)*E83*G83^(1/6)*1000</f>
      </c>
      <c r="O83" s="10">
        <f>N83/f_sc</f>
      </c>
      <c r="P83" s="8">
        <f>K_sc/G83</f>
      </c>
    </row>
    <row r="84">
      <c r="A84" s="18">
        <v>375.0</v>
      </c>
      <c r="B84" s="13">
        <f>A84/1000</f>
      </c>
      <c r="C84" s="16">
        <v>0.85</v>
      </c>
      <c r="D84" s="14">
        <f>2*ACOS(1-2*C84)</f>
      </c>
      <c r="E84" s="9">
        <f>B84^2*(D84-SIN(D84))/8</f>
      </c>
      <c r="F84" s="9">
        <f>B84*D84/2</f>
      </c>
      <c r="G84" s="9">
        <f>E84/F84</f>
      </c>
      <c r="H84" s="10">
        <f>(1/n_Manning)*SQRT(K_sss/100)*E84*G84^(1/6)*1000</f>
      </c>
      <c r="I84" s="10">
        <f>H84/f_sss</f>
      </c>
      <c r="J84" s="8">
        <f>K_sss/G84</f>
      </c>
      <c r="K84" s="12">
        <f>100/J84</f>
      </c>
      <c r="L84" s="10">
        <f>(H84/1000)/E84</f>
      </c>
      <c r="M84" s="9">
        <f>(H84/1000)*n_Manning/SQRT(K_sss/100)/B84^(13/6)</f>
      </c>
      <c r="N84" s="10">
        <f>(1/n_Manning)*SQRT(K_sc/100)*E84*G84^(1/6)*1000</f>
      </c>
      <c r="O84" s="10">
        <f>N84/f_sc</f>
      </c>
      <c r="P84" s="8">
        <f>K_sc/G84</f>
      </c>
    </row>
    <row r="85">
      <c r="A85" s="18">
        <v>375.0</v>
      </c>
      <c r="B85" s="13">
        <f>A85/1000</f>
      </c>
      <c r="C85" s="16">
        <v>0.9</v>
      </c>
      <c r="D85" s="14">
        <f>2*ACOS(1-2*C85)</f>
      </c>
      <c r="E85" s="9">
        <f>B85^2*(D85-SIN(D85))/8</f>
      </c>
      <c r="F85" s="9">
        <f>B85*D85/2</f>
      </c>
      <c r="G85" s="9">
        <f>E85/F85</f>
      </c>
      <c r="H85" s="10">
        <f>(1/n_Manning)*SQRT(K_sss/100)*E85*G85^(1/6)*1000</f>
      </c>
      <c r="I85" s="10">
        <f>H85/f_sss</f>
      </c>
      <c r="J85" s="8">
        <f>K_sss/G85</f>
      </c>
      <c r="K85" s="12">
        <f>100/J85</f>
      </c>
      <c r="L85" s="10">
        <f>(H85/1000)/E85</f>
      </c>
      <c r="M85" s="9">
        <f>(H85/1000)*n_Manning/SQRT(K_sss/100)/B85^(13/6)</f>
      </c>
      <c r="N85" s="10">
        <f>(1/n_Manning)*SQRT(K_sc/100)*E85*G85^(1/6)*1000</f>
      </c>
      <c r="O85" s="10">
        <f>N85/f_sc</f>
      </c>
      <c r="P85" s="8">
        <f>K_sc/G85</f>
      </c>
    </row>
    <row r="86">
      <c r="A86" s="18">
        <v>375.0</v>
      </c>
      <c r="B86" s="13">
        <f>A86/1000</f>
      </c>
      <c r="C86" s="16">
        <v>0.95</v>
      </c>
      <c r="D86" s="14">
        <f>2*ACOS(1-2*C86)</f>
      </c>
      <c r="E86" s="9">
        <f>B86^2*(D86-SIN(D86))/8</f>
      </c>
      <c r="F86" s="9">
        <f>B86*D86/2</f>
      </c>
      <c r="G86" s="9">
        <f>E86/F86</f>
      </c>
      <c r="H86" s="10">
        <f>(1/n_Manning)*SQRT(K_sss/100)*E86*G86^(1/6)*1000</f>
      </c>
      <c r="I86" s="10">
        <f>H86/f_sss</f>
      </c>
      <c r="J86" s="8">
        <f>K_sss/G86</f>
      </c>
      <c r="K86" s="12">
        <f>100/J86</f>
      </c>
      <c r="L86" s="10">
        <f>(H86/1000)/E86</f>
      </c>
      <c r="M86" s="9">
        <f>(H86/1000)*n_Manning/SQRT(K_sss/100)/B86^(13/6)</f>
      </c>
      <c r="N86" s="10">
        <f>(1/n_Manning)*SQRT(K_sc/100)*E86*G86^(1/6)*1000</f>
      </c>
      <c r="O86" s="10">
        <f>N86/f_sc</f>
      </c>
      <c r="P86" s="8">
        <f>K_sc/G86</f>
      </c>
    </row>
    <row r="87">
      <c r="A87" s="18">
        <v>375.0</v>
      </c>
      <c r="B87" s="13">
        <f>A87/1000</f>
      </c>
      <c r="C87" s="16">
        <v>1.0</v>
      </c>
      <c r="D87" s="14">
        <f>2*ACOS(1-2*C87)</f>
      </c>
      <c r="E87" s="9">
        <f>B87^2*(D87-SIN(D87))/8</f>
      </c>
      <c r="F87" s="9">
        <f>B87*D87/2</f>
      </c>
      <c r="G87" s="9">
        <f>E87/F87</f>
      </c>
      <c r="H87" s="10">
        <f>(1/n_Manning)*SQRT(K_sss/100)*E87*G87^(1/6)*1000</f>
      </c>
      <c r="I87" s="10">
        <f>H87/f_sss</f>
      </c>
      <c r="J87" s="8">
        <f>K_sss/G87</f>
      </c>
      <c r="K87" s="12">
        <f>100/J87</f>
      </c>
      <c r="L87" s="10">
        <f>(H87/1000)/E87</f>
      </c>
      <c r="M87" s="9">
        <f>(H87/1000)*n_Manning/SQRT(K_sss/100)/B87^(13/6)</f>
      </c>
      <c r="N87" s="10">
        <f>(1/n_Manning)*SQRT(K_sc/100)*E87*G87^(1/6)*1000</f>
      </c>
      <c r="O87" s="10">
        <f>N87/f_sc</f>
      </c>
      <c r="P87" s="8">
        <f>K_sc/G87</f>
      </c>
    </row>
    <row r="89">
      <c r="A89" s="18">
        <v>450.0</v>
      </c>
      <c r="B89" s="13">
        <f>A89/1000</f>
      </c>
      <c r="C89" s="16">
        <v>0.05</v>
      </c>
      <c r="D89" s="14">
        <f>2*ACOS(1-2*C89)</f>
      </c>
      <c r="E89" s="9">
        <f>B89^2*(D89-SIN(D89))/8</f>
      </c>
      <c r="F89" s="9">
        <f>B89*D89/2</f>
      </c>
      <c r="G89" s="9">
        <f>E89/F89</f>
      </c>
      <c r="H89" s="10">
        <f>(1/n_Manning)*SQRT(K_sss/100)*E89*G89^(1/6)*1000</f>
      </c>
      <c r="I89" s="10">
        <f>H89/f_sss</f>
      </c>
      <c r="J89" s="8">
        <f>K_sss/G89</f>
      </c>
      <c r="K89" s="12">
        <f>100/J89</f>
      </c>
      <c r="L89" s="10">
        <f>(H89/1000)/E89</f>
      </c>
      <c r="M89" s="9">
        <f>(H89/1000)*n_Manning/SQRT(K_sss/100)/B89^(13/6)</f>
      </c>
      <c r="N89" s="10">
        <f>(1/n_Manning)*SQRT(K_sc/100)*E89*G89^(1/6)*1000</f>
      </c>
      <c r="O89" s="10">
        <f>N89/f_sc</f>
      </c>
      <c r="P89" s="8">
        <f>K_sc/G89</f>
      </c>
    </row>
    <row r="90">
      <c r="A90" s="18">
        <v>450.0</v>
      </c>
      <c r="B90" s="13">
        <f>A90/1000</f>
      </c>
      <c r="C90" s="16">
        <v>0.1</v>
      </c>
      <c r="D90" s="14">
        <f>2*ACOS(1-2*C90)</f>
      </c>
      <c r="E90" s="9">
        <f>B90^2*(D90-SIN(D90))/8</f>
      </c>
      <c r="F90" s="9">
        <f>B90*D90/2</f>
      </c>
      <c r="G90" s="9">
        <f>E90/F90</f>
      </c>
      <c r="H90" s="10">
        <f>(1/n_Manning)*SQRT(K_sss/100)*E90*G90^(1/6)*1000</f>
      </c>
      <c r="I90" s="10">
        <f>H90/f_sss</f>
      </c>
      <c r="J90" s="8">
        <f>K_sss/G90</f>
      </c>
      <c r="K90" s="12">
        <f>100/J90</f>
      </c>
      <c r="L90" s="10">
        <f>(H90/1000)/E90</f>
      </c>
      <c r="M90" s="9">
        <f>(H90/1000)*n_Manning/SQRT(K_sss/100)/B90^(13/6)</f>
      </c>
      <c r="N90" s="10">
        <f>(1/n_Manning)*SQRT(K_sc/100)*E90*G90^(1/6)*1000</f>
      </c>
      <c r="O90" s="10">
        <f>N90/f_sc</f>
      </c>
      <c r="P90" s="8">
        <f>K_sc/G90</f>
      </c>
    </row>
    <row r="91">
      <c r="A91" s="18">
        <v>450.0</v>
      </c>
      <c r="B91" s="13">
        <f>A91/1000</f>
      </c>
      <c r="C91" s="16">
        <v>0.15</v>
      </c>
      <c r="D91" s="14">
        <f>2*ACOS(1-2*C91)</f>
      </c>
      <c r="E91" s="9">
        <f>B91^2*(D91-SIN(D91))/8</f>
      </c>
      <c r="F91" s="9">
        <f>B91*D91/2</f>
      </c>
      <c r="G91" s="9">
        <f>E91/F91</f>
      </c>
      <c r="H91" s="10">
        <f>(1/n_Manning)*SQRT(K_sss/100)*E91*G91^(1/6)*1000</f>
      </c>
      <c r="I91" s="10">
        <f>H91/f_sss</f>
      </c>
      <c r="J91" s="8">
        <f>K_sss/G91</f>
      </c>
      <c r="K91" s="12">
        <f>100/J91</f>
      </c>
      <c r="L91" s="10">
        <f>(H91/1000)/E91</f>
      </c>
      <c r="M91" s="9">
        <f>(H91/1000)*n_Manning/SQRT(K_sss/100)/B91^(13/6)</f>
      </c>
      <c r="N91" s="10">
        <f>(1/n_Manning)*SQRT(K_sc/100)*E91*G91^(1/6)*1000</f>
      </c>
      <c r="O91" s="10">
        <f>N91/f_sc</f>
      </c>
      <c r="P91" s="8">
        <f>K_sc/G91</f>
      </c>
    </row>
    <row r="92">
      <c r="A92" s="18">
        <v>450.0</v>
      </c>
      <c r="B92" s="13">
        <f>A92/1000</f>
      </c>
      <c r="C92" s="16">
        <v>0.2</v>
      </c>
      <c r="D92" s="14">
        <f>2*ACOS(1-2*C92)</f>
      </c>
      <c r="E92" s="9">
        <f>B92^2*(D92-SIN(D92))/8</f>
      </c>
      <c r="F92" s="9">
        <f>B92*D92/2</f>
      </c>
      <c r="G92" s="9">
        <f>E92/F92</f>
      </c>
      <c r="H92" s="10">
        <f>(1/n_Manning)*SQRT(K_sss/100)*E92*G92^(1/6)*1000</f>
      </c>
      <c r="I92" s="10">
        <f>H92/f_sss</f>
      </c>
      <c r="J92" s="8">
        <f>K_sss/G92</f>
      </c>
      <c r="K92" s="12">
        <f>100/J92</f>
      </c>
      <c r="L92" s="10">
        <f>(H92/1000)/E92</f>
      </c>
      <c r="M92" s="9">
        <f>(H92/1000)*n_Manning/SQRT(K_sss/100)/B92^(13/6)</f>
      </c>
      <c r="N92" s="10">
        <f>(1/n_Manning)*SQRT(K_sc/100)*E92*G92^(1/6)*1000</f>
      </c>
      <c r="O92" s="10">
        <f>N92/f_sc</f>
      </c>
      <c r="P92" s="8">
        <f>K_sc/G92</f>
      </c>
    </row>
    <row r="93">
      <c r="A93" s="18">
        <v>450.0</v>
      </c>
      <c r="B93" s="13">
        <f>A93/1000</f>
      </c>
      <c r="C93" s="16">
        <v>0.25</v>
      </c>
      <c r="D93" s="14">
        <f>2*ACOS(1-2*C93)</f>
      </c>
      <c r="E93" s="9">
        <f>B93^2*(D93-SIN(D93))/8</f>
      </c>
      <c r="F93" s="9">
        <f>B93*D93/2</f>
      </c>
      <c r="G93" s="9">
        <f>E93/F93</f>
      </c>
      <c r="H93" s="10">
        <f>(1/n_Manning)*SQRT(K_sss/100)*E93*G93^(1/6)*1000</f>
      </c>
      <c r="I93" s="10">
        <f>H93/f_sss</f>
      </c>
      <c r="J93" s="8">
        <f>K_sss/G93</f>
      </c>
      <c r="K93" s="12">
        <f>100/J93</f>
      </c>
      <c r="L93" s="10">
        <f>(H93/1000)/E93</f>
      </c>
      <c r="M93" s="9">
        <f>(H93/1000)*n_Manning/SQRT(K_sss/100)/B93^(13/6)</f>
      </c>
      <c r="N93" s="10">
        <f>(1/n_Manning)*SQRT(K_sc/100)*E93*G93^(1/6)*1000</f>
      </c>
      <c r="O93" s="10">
        <f>N93/f_sc</f>
      </c>
      <c r="P93" s="8">
        <f>K_sc/G93</f>
      </c>
    </row>
    <row r="94">
      <c r="A94" s="18">
        <v>450.0</v>
      </c>
      <c r="B94" s="13">
        <f>A94/1000</f>
      </c>
      <c r="C94" s="16">
        <v>0.3</v>
      </c>
      <c r="D94" s="14">
        <f>2*ACOS(1-2*C94)</f>
      </c>
      <c r="E94" s="9">
        <f>B94^2*(D94-SIN(D94))/8</f>
      </c>
      <c r="F94" s="9">
        <f>B94*D94/2</f>
      </c>
      <c r="G94" s="9">
        <f>E94/F94</f>
      </c>
      <c r="H94" s="10">
        <f>(1/n_Manning)*SQRT(K_sss/100)*E94*G94^(1/6)*1000</f>
      </c>
      <c r="I94" s="10">
        <f>H94/f_sss</f>
      </c>
      <c r="J94" s="8">
        <f>K_sss/G94</f>
      </c>
      <c r="K94" s="12">
        <f>100/J94</f>
      </c>
      <c r="L94" s="10">
        <f>(H94/1000)/E94</f>
      </c>
      <c r="M94" s="9">
        <f>(H94/1000)*n_Manning/SQRT(K_sss/100)/B94^(13/6)</f>
      </c>
      <c r="N94" s="10">
        <f>(1/n_Manning)*SQRT(K_sc/100)*E94*G94^(1/6)*1000</f>
      </c>
      <c r="O94" s="10">
        <f>N94/f_sc</f>
      </c>
      <c r="P94" s="8">
        <f>K_sc/G94</f>
      </c>
    </row>
    <row r="95">
      <c r="A95" s="18">
        <v>450.0</v>
      </c>
      <c r="B95" s="13">
        <f>A95/1000</f>
      </c>
      <c r="C95" s="16">
        <v>0.35</v>
      </c>
      <c r="D95" s="14">
        <f>2*ACOS(1-2*C95)</f>
      </c>
      <c r="E95" s="9">
        <f>B95^2*(D95-SIN(D95))/8</f>
      </c>
      <c r="F95" s="9">
        <f>B95*D95/2</f>
      </c>
      <c r="G95" s="9">
        <f>E95/F95</f>
      </c>
      <c r="H95" s="10">
        <f>(1/n_Manning)*SQRT(K_sss/100)*E95*G95^(1/6)*1000</f>
      </c>
      <c r="I95" s="10">
        <f>H95/f_sss</f>
      </c>
      <c r="J95" s="8">
        <f>K_sss/G95</f>
      </c>
      <c r="K95" s="12">
        <f>100/J95</f>
      </c>
      <c r="L95" s="10">
        <f>(H95/1000)/E95</f>
      </c>
      <c r="M95" s="9">
        <f>(H95/1000)*n_Manning/SQRT(K_sss/100)/B95^(13/6)</f>
      </c>
      <c r="N95" s="10">
        <f>(1/n_Manning)*SQRT(K_sc/100)*E95*G95^(1/6)*1000</f>
      </c>
      <c r="O95" s="10">
        <f>N95/f_sc</f>
      </c>
      <c r="P95" s="8">
        <f>K_sc/G95</f>
      </c>
    </row>
    <row r="96">
      <c r="A96" s="18">
        <v>450.0</v>
      </c>
      <c r="B96" s="13">
        <f>A96/1000</f>
      </c>
      <c r="C96" s="16">
        <v>0.4</v>
      </c>
      <c r="D96" s="14">
        <f>2*ACOS(1-2*C96)</f>
      </c>
      <c r="E96" s="9">
        <f>B96^2*(D96-SIN(D96))/8</f>
      </c>
      <c r="F96" s="9">
        <f>B96*D96/2</f>
      </c>
      <c r="G96" s="9">
        <f>E96/F96</f>
      </c>
      <c r="H96" s="10">
        <f>(1/n_Manning)*SQRT(K_sss/100)*E96*G96^(1/6)*1000</f>
      </c>
      <c r="I96" s="10">
        <f>H96/f_sss</f>
      </c>
      <c r="J96" s="8">
        <f>K_sss/G96</f>
      </c>
      <c r="K96" s="12">
        <f>100/J96</f>
      </c>
      <c r="L96" s="10">
        <f>(H96/1000)/E96</f>
      </c>
      <c r="M96" s="9">
        <f>(H96/1000)*n_Manning/SQRT(K_sss/100)/B96^(13/6)</f>
      </c>
      <c r="N96" s="10">
        <f>(1/n_Manning)*SQRT(K_sc/100)*E96*G96^(1/6)*1000</f>
      </c>
      <c r="O96" s="10">
        <f>N96/f_sc</f>
      </c>
      <c r="P96" s="8">
        <f>K_sc/G96</f>
      </c>
    </row>
    <row r="97">
      <c r="A97" s="18">
        <v>450.0</v>
      </c>
      <c r="B97" s="13">
        <f>A97/1000</f>
      </c>
      <c r="C97" s="16">
        <v>0.45</v>
      </c>
      <c r="D97" s="14">
        <f>2*ACOS(1-2*C97)</f>
      </c>
      <c r="E97" s="9">
        <f>B97^2*(D97-SIN(D97))/8</f>
      </c>
      <c r="F97" s="9">
        <f>B97*D97/2</f>
      </c>
      <c r="G97" s="9">
        <f>E97/F97</f>
      </c>
      <c r="H97" s="10">
        <f>(1/n_Manning)*SQRT(K_sss/100)*E97*G97^(1/6)*1000</f>
      </c>
      <c r="I97" s="10">
        <f>H97/f_sss</f>
      </c>
      <c r="J97" s="8">
        <f>K_sss/G97</f>
      </c>
      <c r="K97" s="12">
        <f>100/J97</f>
      </c>
      <c r="L97" s="10">
        <f>(H97/1000)/E97</f>
      </c>
      <c r="M97" s="9">
        <f>(H97/1000)*n_Manning/SQRT(K_sss/100)/B97^(13/6)</f>
      </c>
      <c r="N97" s="10">
        <f>(1/n_Manning)*SQRT(K_sc/100)*E97*G97^(1/6)*1000</f>
      </c>
      <c r="O97" s="10">
        <f>N97/f_sc</f>
      </c>
      <c r="P97" s="8">
        <f>K_sc/G97</f>
      </c>
    </row>
    <row r="98">
      <c r="A98" s="18">
        <v>450.0</v>
      </c>
      <c r="B98" s="13">
        <f>A98/1000</f>
      </c>
      <c r="C98" s="16">
        <v>0.5</v>
      </c>
      <c r="D98" s="14">
        <f>2*ACOS(1-2*C98)</f>
      </c>
      <c r="E98" s="9">
        <f>B98^2*(D98-SIN(D98))/8</f>
      </c>
      <c r="F98" s="9">
        <f>B98*D98/2</f>
      </c>
      <c r="G98" s="9">
        <f>E98/F98</f>
      </c>
      <c r="H98" s="10">
        <f>(1/n_Manning)*SQRT(K_sss/100)*E98*G98^(1/6)*1000</f>
      </c>
      <c r="I98" s="10">
        <f>H98/f_sss</f>
      </c>
      <c r="J98" s="8">
        <f>K_sss/G98</f>
      </c>
      <c r="K98" s="12">
        <f>100/J98</f>
      </c>
      <c r="L98" s="10">
        <f>(H98/1000)/E98</f>
      </c>
      <c r="M98" s="9">
        <f>(H98/1000)*n_Manning/SQRT(K_sss/100)/B98^(13/6)</f>
      </c>
      <c r="N98" s="10">
        <f>(1/n_Manning)*SQRT(K_sc/100)*E98*G98^(1/6)*1000</f>
      </c>
      <c r="O98" s="10">
        <f>N98/f_sc</f>
      </c>
      <c r="P98" s="8">
        <f>K_sc/G98</f>
      </c>
    </row>
    <row r="99">
      <c r="A99" s="18">
        <v>450.0</v>
      </c>
      <c r="B99" s="13">
        <f>A99/1000</f>
      </c>
      <c r="C99" s="16">
        <v>0.55</v>
      </c>
      <c r="D99" s="14">
        <f>2*ACOS(1-2*C99)</f>
      </c>
      <c r="E99" s="9">
        <f>B99^2*(D99-SIN(D99))/8</f>
      </c>
      <c r="F99" s="9">
        <f>B99*D99/2</f>
      </c>
      <c r="G99" s="9">
        <f>E99/F99</f>
      </c>
      <c r="H99" s="10">
        <f>(1/n_Manning)*SQRT(K_sss/100)*E99*G99^(1/6)*1000</f>
      </c>
      <c r="I99" s="10">
        <f>H99/f_sss</f>
      </c>
      <c r="J99" s="8">
        <f>K_sss/G99</f>
      </c>
      <c r="K99" s="12">
        <f>100/J99</f>
      </c>
      <c r="L99" s="10">
        <f>(H99/1000)/E99</f>
      </c>
      <c r="M99" s="9">
        <f>(H99/1000)*n_Manning/SQRT(K_sss/100)/B99^(13/6)</f>
      </c>
      <c r="N99" s="10">
        <f>(1/n_Manning)*SQRT(K_sc/100)*E99*G99^(1/6)*1000</f>
      </c>
      <c r="O99" s="10">
        <f>N99/f_sc</f>
      </c>
      <c r="P99" s="8">
        <f>K_sc/G99</f>
      </c>
    </row>
    <row r="100">
      <c r="A100" s="18">
        <v>450.0</v>
      </c>
      <c r="B100" s="13">
        <f>A100/1000</f>
      </c>
      <c r="C100" s="16">
        <v>0.6</v>
      </c>
      <c r="D100" s="14">
        <f>2*ACOS(1-2*C100)</f>
      </c>
      <c r="E100" s="9">
        <f>B100^2*(D100-SIN(D100))/8</f>
      </c>
      <c r="F100" s="9">
        <f>B100*D100/2</f>
      </c>
      <c r="G100" s="9">
        <f>E100/F100</f>
      </c>
      <c r="H100" s="10">
        <f>(1/n_Manning)*SQRT(K_sss/100)*E100*G100^(1/6)*1000</f>
      </c>
      <c r="I100" s="10">
        <f>H100/f_sss</f>
      </c>
      <c r="J100" s="8">
        <f>K_sss/G100</f>
      </c>
      <c r="K100" s="12">
        <f>100/J100</f>
      </c>
      <c r="L100" s="10">
        <f>(H100/1000)/E100</f>
      </c>
      <c r="M100" s="9">
        <f>(H100/1000)*n_Manning/SQRT(K_sss/100)/B100^(13/6)</f>
      </c>
      <c r="N100" s="10">
        <f>(1/n_Manning)*SQRT(K_sc/100)*E100*G100^(1/6)*1000</f>
      </c>
      <c r="O100" s="10">
        <f>N100/f_sc</f>
      </c>
      <c r="P100" s="8">
        <f>K_sc/G100</f>
      </c>
    </row>
    <row r="101">
      <c r="A101" s="18">
        <v>450.0</v>
      </c>
      <c r="B101" s="13">
        <f>A101/1000</f>
      </c>
      <c r="C101" s="16">
        <v>0.65</v>
      </c>
      <c r="D101" s="14">
        <f>2*ACOS(1-2*C101)</f>
      </c>
      <c r="E101" s="9">
        <f>B101^2*(D101-SIN(D101))/8</f>
      </c>
      <c r="F101" s="9">
        <f>B101*D101/2</f>
      </c>
      <c r="G101" s="9">
        <f>E101/F101</f>
      </c>
      <c r="H101" s="10">
        <f>(1/n_Manning)*SQRT(K_sss/100)*E101*G101^(1/6)*1000</f>
      </c>
      <c r="I101" s="10">
        <f>H101/f_sss</f>
      </c>
      <c r="J101" s="8">
        <f>K_sss/G101</f>
      </c>
      <c r="K101" s="12">
        <f>100/J101</f>
      </c>
      <c r="L101" s="10">
        <f>(H101/1000)/E101</f>
      </c>
      <c r="M101" s="9">
        <f>(H101/1000)*n_Manning/SQRT(K_sss/100)/B101^(13/6)</f>
      </c>
      <c r="N101" s="10">
        <f>(1/n_Manning)*SQRT(K_sc/100)*E101*G101^(1/6)*1000</f>
      </c>
      <c r="O101" s="10">
        <f>N101/f_sc</f>
      </c>
      <c r="P101" s="8">
        <f>K_sc/G101</f>
      </c>
    </row>
    <row r="102">
      <c r="A102" s="18">
        <v>450.0</v>
      </c>
      <c r="B102" s="13">
        <f>A102/1000</f>
      </c>
      <c r="C102" s="16">
        <v>0.7</v>
      </c>
      <c r="D102" s="14">
        <f>2*ACOS(1-2*C102)</f>
      </c>
      <c r="E102" s="9">
        <f>B102^2*(D102-SIN(D102))/8</f>
      </c>
      <c r="F102" s="9">
        <f>B102*D102/2</f>
      </c>
      <c r="G102" s="9">
        <f>E102/F102</f>
      </c>
      <c r="H102" s="10">
        <f>(1/n_Manning)*SQRT(K_sss/100)*E102*G102^(1/6)*1000</f>
      </c>
      <c r="I102" s="10">
        <f>H102/f_sss</f>
      </c>
      <c r="J102" s="8">
        <f>K_sss/G102</f>
      </c>
      <c r="K102" s="12">
        <f>100/J102</f>
      </c>
      <c r="L102" s="10">
        <f>(H102/1000)/E102</f>
      </c>
      <c r="M102" s="9">
        <f>(H102/1000)*n_Manning/SQRT(K_sss/100)/B102^(13/6)</f>
      </c>
      <c r="N102" s="10">
        <f>(1/n_Manning)*SQRT(K_sc/100)*E102*G102^(1/6)*1000</f>
      </c>
      <c r="O102" s="10">
        <f>N102/f_sc</f>
      </c>
      <c r="P102" s="8">
        <f>K_sc/G102</f>
      </c>
    </row>
    <row r="103">
      <c r="A103" s="18">
        <v>450.0</v>
      </c>
      <c r="B103" s="13">
        <f>A103/1000</f>
      </c>
      <c r="C103" s="16">
        <v>0.75</v>
      </c>
      <c r="D103" s="14">
        <f>2*ACOS(1-2*C103)</f>
      </c>
      <c r="E103" s="9">
        <f>B103^2*(D103-SIN(D103))/8</f>
      </c>
      <c r="F103" s="9">
        <f>B103*D103/2</f>
      </c>
      <c r="G103" s="9">
        <f>E103/F103</f>
      </c>
      <c r="H103" s="10">
        <f>(1/n_Manning)*SQRT(K_sss/100)*E103*G103^(1/6)*1000</f>
      </c>
      <c r="I103" s="10">
        <f>H103/f_sss</f>
      </c>
      <c r="J103" s="8">
        <f>K_sss/G103</f>
      </c>
      <c r="K103" s="12">
        <f>100/J103</f>
      </c>
      <c r="L103" s="10">
        <f>(H103/1000)/E103</f>
      </c>
      <c r="M103" s="9">
        <f>(H103/1000)*n_Manning/SQRT(K_sss/100)/B103^(13/6)</f>
      </c>
      <c r="N103" s="10">
        <f>(1/n_Manning)*SQRT(K_sc/100)*E103*G103^(1/6)*1000</f>
      </c>
      <c r="O103" s="10">
        <f>N103/f_sc</f>
      </c>
      <c r="P103" s="8">
        <f>K_sc/G103</f>
      </c>
    </row>
    <row r="104">
      <c r="A104" s="18">
        <v>450.0</v>
      </c>
      <c r="B104" s="13">
        <f>A104/1000</f>
      </c>
      <c r="C104" s="16">
        <v>0.8</v>
      </c>
      <c r="D104" s="14">
        <f>2*ACOS(1-2*C104)</f>
      </c>
      <c r="E104" s="9">
        <f>B104^2*(D104-SIN(D104))/8</f>
      </c>
      <c r="F104" s="9">
        <f>B104*D104/2</f>
      </c>
      <c r="G104" s="9">
        <f>E104/F104</f>
      </c>
      <c r="H104" s="10">
        <f>(1/n_Manning)*SQRT(K_sss/100)*E104*G104^(1/6)*1000</f>
      </c>
      <c r="I104" s="10">
        <f>H104/f_sss</f>
      </c>
      <c r="J104" s="8">
        <f>K_sss/G104</f>
      </c>
      <c r="K104" s="12">
        <f>100/J104</f>
      </c>
      <c r="L104" s="10">
        <f>(H104/1000)/E104</f>
      </c>
      <c r="M104" s="9">
        <f>(H104/1000)*n_Manning/SQRT(K_sss/100)/B104^(13/6)</f>
      </c>
      <c r="N104" s="10">
        <f>(1/n_Manning)*SQRT(K_sc/100)*E104*G104^(1/6)*1000</f>
      </c>
      <c r="O104" s="10">
        <f>N104/f_sc</f>
      </c>
      <c r="P104" s="8">
        <f>K_sc/G104</f>
      </c>
    </row>
    <row r="105">
      <c r="A105" s="18">
        <v>450.0</v>
      </c>
      <c r="B105" s="13">
        <f>A105/1000</f>
      </c>
      <c r="C105" s="16">
        <v>0.85</v>
      </c>
      <c r="D105" s="14">
        <f>2*ACOS(1-2*C105)</f>
      </c>
      <c r="E105" s="9">
        <f>B105^2*(D105-SIN(D105))/8</f>
      </c>
      <c r="F105" s="9">
        <f>B105*D105/2</f>
      </c>
      <c r="G105" s="9">
        <f>E105/F105</f>
      </c>
      <c r="H105" s="10">
        <f>(1/n_Manning)*SQRT(K_sss/100)*E105*G105^(1/6)*1000</f>
      </c>
      <c r="I105" s="10">
        <f>H105/f_sss</f>
      </c>
      <c r="J105" s="8">
        <f>K_sss/G105</f>
      </c>
      <c r="K105" s="12">
        <f>100/J105</f>
      </c>
      <c r="L105" s="10">
        <f>(H105/1000)/E105</f>
      </c>
      <c r="M105" s="9">
        <f>(H105/1000)*n_Manning/SQRT(K_sss/100)/B105^(13/6)</f>
      </c>
      <c r="N105" s="10">
        <f>(1/n_Manning)*SQRT(K_sc/100)*E105*G105^(1/6)*1000</f>
      </c>
      <c r="O105" s="10">
        <f>N105/f_sc</f>
      </c>
      <c r="P105" s="8">
        <f>K_sc/G105</f>
      </c>
    </row>
    <row r="106">
      <c r="A106" s="18">
        <v>450.0</v>
      </c>
      <c r="B106" s="13">
        <f>A106/1000</f>
      </c>
      <c r="C106" s="16">
        <v>0.9</v>
      </c>
      <c r="D106" s="14">
        <f>2*ACOS(1-2*C106)</f>
      </c>
      <c r="E106" s="9">
        <f>B106^2*(D106-SIN(D106))/8</f>
      </c>
      <c r="F106" s="9">
        <f>B106*D106/2</f>
      </c>
      <c r="G106" s="9">
        <f>E106/F106</f>
      </c>
      <c r="H106" s="10">
        <f>(1/n_Manning)*SQRT(K_sss/100)*E106*G106^(1/6)*1000</f>
      </c>
      <c r="I106" s="10">
        <f>H106/f_sss</f>
      </c>
      <c r="J106" s="8">
        <f>K_sss/G106</f>
      </c>
      <c r="K106" s="12">
        <f>100/J106</f>
      </c>
      <c r="L106" s="10">
        <f>(H106/1000)/E106</f>
      </c>
      <c r="M106" s="9">
        <f>(H106/1000)*n_Manning/SQRT(K_sss/100)/B106^(13/6)</f>
      </c>
      <c r="N106" s="10">
        <f>(1/n_Manning)*SQRT(K_sc/100)*E106*G106^(1/6)*1000</f>
      </c>
      <c r="O106" s="10">
        <f>N106/f_sc</f>
      </c>
      <c r="P106" s="8">
        <f>K_sc/G106</f>
      </c>
    </row>
    <row r="107">
      <c r="A107" s="18">
        <v>450.0</v>
      </c>
      <c r="B107" s="13">
        <f>A107/1000</f>
      </c>
      <c r="C107" s="16">
        <v>0.95</v>
      </c>
      <c r="D107" s="14">
        <f>2*ACOS(1-2*C107)</f>
      </c>
      <c r="E107" s="9">
        <f>B107^2*(D107-SIN(D107))/8</f>
      </c>
      <c r="F107" s="9">
        <f>B107*D107/2</f>
      </c>
      <c r="G107" s="9">
        <f>E107/F107</f>
      </c>
      <c r="H107" s="10">
        <f>(1/n_Manning)*SQRT(K_sss/100)*E107*G107^(1/6)*1000</f>
      </c>
      <c r="I107" s="10">
        <f>H107/f_sss</f>
      </c>
      <c r="J107" s="8">
        <f>K_sss/G107</f>
      </c>
      <c r="K107" s="12">
        <f>100/J107</f>
      </c>
      <c r="L107" s="10">
        <f>(H107/1000)/E107</f>
      </c>
      <c r="M107" s="9">
        <f>(H107/1000)*n_Manning/SQRT(K_sss/100)/B107^(13/6)</f>
      </c>
      <c r="N107" s="10">
        <f>(1/n_Manning)*SQRT(K_sc/100)*E107*G107^(1/6)*1000</f>
      </c>
      <c r="O107" s="10">
        <f>N107/f_sc</f>
      </c>
      <c r="P107" s="8">
        <f>K_sc/G107</f>
      </c>
    </row>
    <row r="108">
      <c r="A108" s="18">
        <v>450.0</v>
      </c>
      <c r="B108" s="13">
        <f>A108/1000</f>
      </c>
      <c r="C108" s="16">
        <v>1.0</v>
      </c>
      <c r="D108" s="14">
        <f>2*ACOS(1-2*C108)</f>
      </c>
      <c r="E108" s="9">
        <f>B108^2*(D108-SIN(D108))/8</f>
      </c>
      <c r="F108" s="9">
        <f>B108*D108/2</f>
      </c>
      <c r="G108" s="9">
        <f>E108/F108</f>
      </c>
      <c r="H108" s="10">
        <f>(1/n_Manning)*SQRT(K_sss/100)*E108*G108^(1/6)*1000</f>
      </c>
      <c r="I108" s="10">
        <f>H108/f_sss</f>
      </c>
      <c r="J108" s="8">
        <f>K_sss/G108</f>
      </c>
      <c r="K108" s="12">
        <f>100/J108</f>
      </c>
      <c r="L108" s="10">
        <f>(H108/1000)/E108</f>
      </c>
      <c r="M108" s="9">
        <f>(H108/1000)*n_Manning/SQRT(K_sss/100)/B108^(13/6)</f>
      </c>
      <c r="N108" s="10">
        <f>(1/n_Manning)*SQRT(K_sc/100)*E108*G108^(1/6)*1000</f>
      </c>
      <c r="O108" s="10">
        <f>N108/f_sc</f>
      </c>
      <c r="P108" s="8">
        <f>K_sc/G108</f>
      </c>
    </row>
    <row r="110">
      <c r="A110" s="18">
        <v>525.0</v>
      </c>
      <c r="B110" s="13">
        <f>A110/1000</f>
      </c>
      <c r="C110" s="16">
        <v>0.05</v>
      </c>
      <c r="D110" s="14">
        <f>2*ACOS(1-2*C110)</f>
      </c>
      <c r="E110" s="9">
        <f>B110^2*(D110-SIN(D110))/8</f>
      </c>
      <c r="F110" s="9">
        <f>B110*D110/2</f>
      </c>
      <c r="G110" s="9">
        <f>E110/F110</f>
      </c>
      <c r="H110" s="10">
        <f>(1/n_Manning)*SQRT(K_sss/100)*E110*G110^(1/6)*1000</f>
      </c>
      <c r="I110" s="10">
        <f>H110/f_sss</f>
      </c>
      <c r="J110" s="8">
        <f>K_sss/G110</f>
      </c>
      <c r="K110" s="12">
        <f>100/J110</f>
      </c>
      <c r="L110" s="10">
        <f>(H110/1000)/E110</f>
      </c>
      <c r="M110" s="9">
        <f>(H110/1000)*n_Manning/SQRT(K_sss/100)/B110^(13/6)</f>
      </c>
      <c r="N110" s="10">
        <f>(1/n_Manning)*SQRT(K_sc/100)*E110*G110^(1/6)*1000</f>
      </c>
      <c r="O110" s="10">
        <f>N110/f_sc</f>
      </c>
      <c r="P110" s="8">
        <f>K_sc/G110</f>
      </c>
    </row>
    <row r="111">
      <c r="A111" s="18">
        <v>525.0</v>
      </c>
      <c r="B111" s="13">
        <f>A111/1000</f>
      </c>
      <c r="C111" s="16">
        <v>0.1</v>
      </c>
      <c r="D111" s="14">
        <f>2*ACOS(1-2*C111)</f>
      </c>
      <c r="E111" s="9">
        <f>B111^2*(D111-SIN(D111))/8</f>
      </c>
      <c r="F111" s="9">
        <f>B111*D111/2</f>
      </c>
      <c r="G111" s="9">
        <f>E111/F111</f>
      </c>
      <c r="H111" s="10">
        <f>(1/n_Manning)*SQRT(K_sss/100)*E111*G111^(1/6)*1000</f>
      </c>
      <c r="I111" s="10">
        <f>H111/f_sss</f>
      </c>
      <c r="J111" s="8">
        <f>K_sss/G111</f>
      </c>
      <c r="K111" s="12">
        <f>100/J111</f>
      </c>
      <c r="L111" s="10">
        <f>(H111/1000)/E111</f>
      </c>
      <c r="M111" s="9">
        <f>(H111/1000)*n_Manning/SQRT(K_sss/100)/B111^(13/6)</f>
      </c>
      <c r="N111" s="10">
        <f>(1/n_Manning)*SQRT(K_sc/100)*E111*G111^(1/6)*1000</f>
      </c>
      <c r="O111" s="10">
        <f>N111/f_sc</f>
      </c>
      <c r="P111" s="8">
        <f>K_sc/G111</f>
      </c>
    </row>
    <row r="112">
      <c r="A112" s="18">
        <v>525.0</v>
      </c>
      <c r="B112" s="13">
        <f>A112/1000</f>
      </c>
      <c r="C112" s="16">
        <v>0.15</v>
      </c>
      <c r="D112" s="14">
        <f>2*ACOS(1-2*C112)</f>
      </c>
      <c r="E112" s="9">
        <f>B112^2*(D112-SIN(D112))/8</f>
      </c>
      <c r="F112" s="9">
        <f>B112*D112/2</f>
      </c>
      <c r="G112" s="9">
        <f>E112/F112</f>
      </c>
      <c r="H112" s="10">
        <f>(1/n_Manning)*SQRT(K_sss/100)*E112*G112^(1/6)*1000</f>
      </c>
      <c r="I112" s="10">
        <f>H112/f_sss</f>
      </c>
      <c r="J112" s="8">
        <f>K_sss/G112</f>
      </c>
      <c r="K112" s="12">
        <f>100/J112</f>
      </c>
      <c r="L112" s="10">
        <f>(H112/1000)/E112</f>
      </c>
      <c r="M112" s="9">
        <f>(H112/1000)*n_Manning/SQRT(K_sss/100)/B112^(13/6)</f>
      </c>
      <c r="N112" s="10">
        <f>(1/n_Manning)*SQRT(K_sc/100)*E112*G112^(1/6)*1000</f>
      </c>
      <c r="O112" s="10">
        <f>N112/f_sc</f>
      </c>
      <c r="P112" s="8">
        <f>K_sc/G112</f>
      </c>
    </row>
    <row r="113">
      <c r="A113" s="18">
        <v>525.0</v>
      </c>
      <c r="B113" s="13">
        <f>A113/1000</f>
      </c>
      <c r="C113" s="16">
        <v>0.2</v>
      </c>
      <c r="D113" s="14">
        <f>2*ACOS(1-2*C113)</f>
      </c>
      <c r="E113" s="9">
        <f>B113^2*(D113-SIN(D113))/8</f>
      </c>
      <c r="F113" s="9">
        <f>B113*D113/2</f>
      </c>
      <c r="G113" s="9">
        <f>E113/F113</f>
      </c>
      <c r="H113" s="10">
        <f>(1/n_Manning)*SQRT(K_sss/100)*E113*G113^(1/6)*1000</f>
      </c>
      <c r="I113" s="10">
        <f>H113/f_sss</f>
      </c>
      <c r="J113" s="8">
        <f>K_sss/G113</f>
      </c>
      <c r="K113" s="12">
        <f>100/J113</f>
      </c>
      <c r="L113" s="10">
        <f>(H113/1000)/E113</f>
      </c>
      <c r="M113" s="9">
        <f>(H113/1000)*n_Manning/SQRT(K_sss/100)/B113^(13/6)</f>
      </c>
      <c r="N113" s="10">
        <f>(1/n_Manning)*SQRT(K_sc/100)*E113*G113^(1/6)*1000</f>
      </c>
      <c r="O113" s="10">
        <f>N113/f_sc</f>
      </c>
      <c r="P113" s="8">
        <f>K_sc/G113</f>
      </c>
    </row>
    <row r="114">
      <c r="A114" s="18">
        <v>525.0</v>
      </c>
      <c r="B114" s="13">
        <f>A114/1000</f>
      </c>
      <c r="C114" s="16">
        <v>0.25</v>
      </c>
      <c r="D114" s="14">
        <f>2*ACOS(1-2*C114)</f>
      </c>
      <c r="E114" s="9">
        <f>B114^2*(D114-SIN(D114))/8</f>
      </c>
      <c r="F114" s="9">
        <f>B114*D114/2</f>
      </c>
      <c r="G114" s="9">
        <f>E114/F114</f>
      </c>
      <c r="H114" s="10">
        <f>(1/n_Manning)*SQRT(K_sss/100)*E114*G114^(1/6)*1000</f>
      </c>
      <c r="I114" s="10">
        <f>H114/f_sss</f>
      </c>
      <c r="J114" s="8">
        <f>K_sss/G114</f>
      </c>
      <c r="K114" s="12">
        <f>100/J114</f>
      </c>
      <c r="L114" s="10">
        <f>(H114/1000)/E114</f>
      </c>
      <c r="M114" s="9">
        <f>(H114/1000)*n_Manning/SQRT(K_sss/100)/B114^(13/6)</f>
      </c>
      <c r="N114" s="10">
        <f>(1/n_Manning)*SQRT(K_sc/100)*E114*G114^(1/6)*1000</f>
      </c>
      <c r="O114" s="10">
        <f>N114/f_sc</f>
      </c>
      <c r="P114" s="8">
        <f>K_sc/G114</f>
      </c>
    </row>
    <row r="115">
      <c r="A115" s="18">
        <v>525.0</v>
      </c>
      <c r="B115" s="13">
        <f>A115/1000</f>
      </c>
      <c r="C115" s="16">
        <v>0.3</v>
      </c>
      <c r="D115" s="14">
        <f>2*ACOS(1-2*C115)</f>
      </c>
      <c r="E115" s="9">
        <f>B115^2*(D115-SIN(D115))/8</f>
      </c>
      <c r="F115" s="9">
        <f>B115*D115/2</f>
      </c>
      <c r="G115" s="9">
        <f>E115/F115</f>
      </c>
      <c r="H115" s="10">
        <f>(1/n_Manning)*SQRT(K_sss/100)*E115*G115^(1/6)*1000</f>
      </c>
      <c r="I115" s="10">
        <f>H115/f_sss</f>
      </c>
      <c r="J115" s="8">
        <f>K_sss/G115</f>
      </c>
      <c r="K115" s="12">
        <f>100/J115</f>
      </c>
      <c r="L115" s="10">
        <f>(H115/1000)/E115</f>
      </c>
      <c r="M115" s="9">
        <f>(H115/1000)*n_Manning/SQRT(K_sss/100)/B115^(13/6)</f>
      </c>
      <c r="N115" s="10">
        <f>(1/n_Manning)*SQRT(K_sc/100)*E115*G115^(1/6)*1000</f>
      </c>
      <c r="O115" s="10">
        <f>N115/f_sc</f>
      </c>
      <c r="P115" s="8">
        <f>K_sc/G115</f>
      </c>
    </row>
    <row r="116">
      <c r="A116" s="18">
        <v>525.0</v>
      </c>
      <c r="B116" s="13">
        <f>A116/1000</f>
      </c>
      <c r="C116" s="16">
        <v>0.35</v>
      </c>
      <c r="D116" s="14">
        <f>2*ACOS(1-2*C116)</f>
      </c>
      <c r="E116" s="9">
        <f>B116^2*(D116-SIN(D116))/8</f>
      </c>
      <c r="F116" s="9">
        <f>B116*D116/2</f>
      </c>
      <c r="G116" s="9">
        <f>E116/F116</f>
      </c>
      <c r="H116" s="10">
        <f>(1/n_Manning)*SQRT(K_sss/100)*E116*G116^(1/6)*1000</f>
      </c>
      <c r="I116" s="10">
        <f>H116/f_sss</f>
      </c>
      <c r="J116" s="8">
        <f>K_sss/G116</f>
      </c>
      <c r="K116" s="12">
        <f>100/J116</f>
      </c>
      <c r="L116" s="10">
        <f>(H116/1000)/E116</f>
      </c>
      <c r="M116" s="9">
        <f>(H116/1000)*n_Manning/SQRT(K_sss/100)/B116^(13/6)</f>
      </c>
      <c r="N116" s="10">
        <f>(1/n_Manning)*SQRT(K_sc/100)*E116*G116^(1/6)*1000</f>
      </c>
      <c r="O116" s="10">
        <f>N116/f_sc</f>
      </c>
      <c r="P116" s="8">
        <f>K_sc/G116</f>
      </c>
    </row>
    <row r="117">
      <c r="A117" s="18">
        <v>525.0</v>
      </c>
      <c r="B117" s="13">
        <f>A117/1000</f>
      </c>
      <c r="C117" s="16">
        <v>0.4</v>
      </c>
      <c r="D117" s="14">
        <f>2*ACOS(1-2*C117)</f>
      </c>
      <c r="E117" s="9">
        <f>B117^2*(D117-SIN(D117))/8</f>
      </c>
      <c r="F117" s="9">
        <f>B117*D117/2</f>
      </c>
      <c r="G117" s="9">
        <f>E117/F117</f>
      </c>
      <c r="H117" s="10">
        <f>(1/n_Manning)*SQRT(K_sss/100)*E117*G117^(1/6)*1000</f>
      </c>
      <c r="I117" s="10">
        <f>H117/f_sss</f>
      </c>
      <c r="J117" s="8">
        <f>K_sss/G117</f>
      </c>
      <c r="K117" s="12">
        <f>100/J117</f>
      </c>
      <c r="L117" s="10">
        <f>(H117/1000)/E117</f>
      </c>
      <c r="M117" s="9">
        <f>(H117/1000)*n_Manning/SQRT(K_sss/100)/B117^(13/6)</f>
      </c>
      <c r="N117" s="10">
        <f>(1/n_Manning)*SQRT(K_sc/100)*E117*G117^(1/6)*1000</f>
      </c>
      <c r="O117" s="10">
        <f>N117/f_sc</f>
      </c>
      <c r="P117" s="8">
        <f>K_sc/G117</f>
      </c>
    </row>
    <row r="118">
      <c r="A118" s="18">
        <v>525.0</v>
      </c>
      <c r="B118" s="13">
        <f>A118/1000</f>
      </c>
      <c r="C118" s="16">
        <v>0.45</v>
      </c>
      <c r="D118" s="14">
        <f>2*ACOS(1-2*C118)</f>
      </c>
      <c r="E118" s="9">
        <f>B118^2*(D118-SIN(D118))/8</f>
      </c>
      <c r="F118" s="9">
        <f>B118*D118/2</f>
      </c>
      <c r="G118" s="9">
        <f>E118/F118</f>
      </c>
      <c r="H118" s="10">
        <f>(1/n_Manning)*SQRT(K_sss/100)*E118*G118^(1/6)*1000</f>
      </c>
      <c r="I118" s="10">
        <f>H118/f_sss</f>
      </c>
      <c r="J118" s="8">
        <f>K_sss/G118</f>
      </c>
      <c r="K118" s="12">
        <f>100/J118</f>
      </c>
      <c r="L118" s="10">
        <f>(H118/1000)/E118</f>
      </c>
      <c r="M118" s="9">
        <f>(H118/1000)*n_Manning/SQRT(K_sss/100)/B118^(13/6)</f>
      </c>
      <c r="N118" s="10">
        <f>(1/n_Manning)*SQRT(K_sc/100)*E118*G118^(1/6)*1000</f>
      </c>
      <c r="O118" s="10">
        <f>N118/f_sc</f>
      </c>
      <c r="P118" s="8">
        <f>K_sc/G118</f>
      </c>
    </row>
    <row r="119">
      <c r="A119" s="18">
        <v>525.0</v>
      </c>
      <c r="B119" s="13">
        <f>A119/1000</f>
      </c>
      <c r="C119" s="16">
        <v>0.5</v>
      </c>
      <c r="D119" s="14">
        <f>2*ACOS(1-2*C119)</f>
      </c>
      <c r="E119" s="9">
        <f>B119^2*(D119-SIN(D119))/8</f>
      </c>
      <c r="F119" s="9">
        <f>B119*D119/2</f>
      </c>
      <c r="G119" s="9">
        <f>E119/F119</f>
      </c>
      <c r="H119" s="10">
        <f>(1/n_Manning)*SQRT(K_sss/100)*E119*G119^(1/6)*1000</f>
      </c>
      <c r="I119" s="10">
        <f>H119/f_sss</f>
      </c>
      <c r="J119" s="8">
        <f>K_sss/G119</f>
      </c>
      <c r="K119" s="12">
        <f>100/J119</f>
      </c>
      <c r="L119" s="10">
        <f>(H119/1000)/E119</f>
      </c>
      <c r="M119" s="9">
        <f>(H119/1000)*n_Manning/SQRT(K_sss/100)/B119^(13/6)</f>
      </c>
      <c r="N119" s="10">
        <f>(1/n_Manning)*SQRT(K_sc/100)*E119*G119^(1/6)*1000</f>
      </c>
      <c r="O119" s="10">
        <f>N119/f_sc</f>
      </c>
      <c r="P119" s="8">
        <f>K_sc/G119</f>
      </c>
    </row>
    <row r="120">
      <c r="A120" s="18">
        <v>525.0</v>
      </c>
      <c r="B120" s="13">
        <f>A120/1000</f>
      </c>
      <c r="C120" s="16">
        <v>0.55</v>
      </c>
      <c r="D120" s="14">
        <f>2*ACOS(1-2*C120)</f>
      </c>
      <c r="E120" s="9">
        <f>B120^2*(D120-SIN(D120))/8</f>
      </c>
      <c r="F120" s="9">
        <f>B120*D120/2</f>
      </c>
      <c r="G120" s="9">
        <f>E120/F120</f>
      </c>
      <c r="H120" s="10">
        <f>(1/n_Manning)*SQRT(K_sss/100)*E120*G120^(1/6)*1000</f>
      </c>
      <c r="I120" s="10">
        <f>H120/f_sss</f>
      </c>
      <c r="J120" s="8">
        <f>K_sss/G120</f>
      </c>
      <c r="K120" s="12">
        <f>100/J120</f>
      </c>
      <c r="L120" s="10">
        <f>(H120/1000)/E120</f>
      </c>
      <c r="M120" s="9">
        <f>(H120/1000)*n_Manning/SQRT(K_sss/100)/B120^(13/6)</f>
      </c>
      <c r="N120" s="10">
        <f>(1/n_Manning)*SQRT(K_sc/100)*E120*G120^(1/6)*1000</f>
      </c>
      <c r="O120" s="10">
        <f>N120/f_sc</f>
      </c>
      <c r="P120" s="8">
        <f>K_sc/G120</f>
      </c>
    </row>
    <row r="121">
      <c r="A121" s="18">
        <v>525.0</v>
      </c>
      <c r="B121" s="13">
        <f>A121/1000</f>
      </c>
      <c r="C121" s="16">
        <v>0.6</v>
      </c>
      <c r="D121" s="14">
        <f>2*ACOS(1-2*C121)</f>
      </c>
      <c r="E121" s="9">
        <f>B121^2*(D121-SIN(D121))/8</f>
      </c>
      <c r="F121" s="9">
        <f>B121*D121/2</f>
      </c>
      <c r="G121" s="9">
        <f>E121/F121</f>
      </c>
      <c r="H121" s="10">
        <f>(1/n_Manning)*SQRT(K_sss/100)*E121*G121^(1/6)*1000</f>
      </c>
      <c r="I121" s="10">
        <f>H121/f_sss</f>
      </c>
      <c r="J121" s="8">
        <f>K_sss/G121</f>
      </c>
      <c r="K121" s="12">
        <f>100/J121</f>
      </c>
      <c r="L121" s="10">
        <f>(H121/1000)/E121</f>
      </c>
      <c r="M121" s="9">
        <f>(H121/1000)*n_Manning/SQRT(K_sss/100)/B121^(13/6)</f>
      </c>
      <c r="N121" s="10">
        <f>(1/n_Manning)*SQRT(K_sc/100)*E121*G121^(1/6)*1000</f>
      </c>
      <c r="O121" s="10">
        <f>N121/f_sc</f>
      </c>
      <c r="P121" s="8">
        <f>K_sc/G121</f>
      </c>
    </row>
    <row r="122">
      <c r="A122" s="18">
        <v>525.0</v>
      </c>
      <c r="B122" s="13">
        <f>A122/1000</f>
      </c>
      <c r="C122" s="16">
        <v>0.65</v>
      </c>
      <c r="D122" s="14">
        <f>2*ACOS(1-2*C122)</f>
      </c>
      <c r="E122" s="9">
        <f>B122^2*(D122-SIN(D122))/8</f>
      </c>
      <c r="F122" s="9">
        <f>B122*D122/2</f>
      </c>
      <c r="G122" s="9">
        <f>E122/F122</f>
      </c>
      <c r="H122" s="10">
        <f>(1/n_Manning)*SQRT(K_sss/100)*E122*G122^(1/6)*1000</f>
      </c>
      <c r="I122" s="10">
        <f>H122/f_sss</f>
      </c>
      <c r="J122" s="8">
        <f>K_sss/G122</f>
      </c>
      <c r="K122" s="12">
        <f>100/J122</f>
      </c>
      <c r="L122" s="10">
        <f>(H122/1000)/E122</f>
      </c>
      <c r="M122" s="9">
        <f>(H122/1000)*n_Manning/SQRT(K_sss/100)/B122^(13/6)</f>
      </c>
      <c r="N122" s="10">
        <f>(1/n_Manning)*SQRT(K_sc/100)*E122*G122^(1/6)*1000</f>
      </c>
      <c r="O122" s="10">
        <f>N122/f_sc</f>
      </c>
      <c r="P122" s="8">
        <f>K_sc/G122</f>
      </c>
    </row>
    <row r="123">
      <c r="A123" s="18">
        <v>525.0</v>
      </c>
      <c r="B123" s="13">
        <f>A123/1000</f>
      </c>
      <c r="C123" s="16">
        <v>0.7</v>
      </c>
      <c r="D123" s="14">
        <f>2*ACOS(1-2*C123)</f>
      </c>
      <c r="E123" s="9">
        <f>B123^2*(D123-SIN(D123))/8</f>
      </c>
      <c r="F123" s="9">
        <f>B123*D123/2</f>
      </c>
      <c r="G123" s="9">
        <f>E123/F123</f>
      </c>
      <c r="H123" s="10">
        <f>(1/n_Manning)*SQRT(K_sss/100)*E123*G123^(1/6)*1000</f>
      </c>
      <c r="I123" s="10">
        <f>H123/f_sss</f>
      </c>
      <c r="J123" s="8">
        <f>K_sss/G123</f>
      </c>
      <c r="K123" s="12">
        <f>100/J123</f>
      </c>
      <c r="L123" s="10">
        <f>(H123/1000)/E123</f>
      </c>
      <c r="M123" s="9">
        <f>(H123/1000)*n_Manning/SQRT(K_sss/100)/B123^(13/6)</f>
      </c>
      <c r="N123" s="10">
        <f>(1/n_Manning)*SQRT(K_sc/100)*E123*G123^(1/6)*1000</f>
      </c>
      <c r="O123" s="10">
        <f>N123/f_sc</f>
      </c>
      <c r="P123" s="8">
        <f>K_sc/G123</f>
      </c>
    </row>
    <row r="124">
      <c r="A124" s="18">
        <v>525.0</v>
      </c>
      <c r="B124" s="13">
        <f>A124/1000</f>
      </c>
      <c r="C124" s="16">
        <v>0.75</v>
      </c>
      <c r="D124" s="14">
        <f>2*ACOS(1-2*C124)</f>
      </c>
      <c r="E124" s="9">
        <f>B124^2*(D124-SIN(D124))/8</f>
      </c>
      <c r="F124" s="9">
        <f>B124*D124/2</f>
      </c>
      <c r="G124" s="9">
        <f>E124/F124</f>
      </c>
      <c r="H124" s="10">
        <f>(1/n_Manning)*SQRT(K_sss/100)*E124*G124^(1/6)*1000</f>
      </c>
      <c r="I124" s="10">
        <f>H124/f_sss</f>
      </c>
      <c r="J124" s="8">
        <f>K_sss/G124</f>
      </c>
      <c r="K124" s="12">
        <f>100/J124</f>
      </c>
      <c r="L124" s="10">
        <f>(H124/1000)/E124</f>
      </c>
      <c r="M124" s="9">
        <f>(H124/1000)*n_Manning/SQRT(K_sss/100)/B124^(13/6)</f>
      </c>
      <c r="N124" s="10">
        <f>(1/n_Manning)*SQRT(K_sc/100)*E124*G124^(1/6)*1000</f>
      </c>
      <c r="O124" s="10">
        <f>N124/f_sc</f>
      </c>
      <c r="P124" s="8">
        <f>K_sc/G124</f>
      </c>
    </row>
    <row r="125">
      <c r="A125" s="18">
        <v>525.0</v>
      </c>
      <c r="B125" s="13">
        <f>A125/1000</f>
      </c>
      <c r="C125" s="16">
        <v>0.8</v>
      </c>
      <c r="D125" s="14">
        <f>2*ACOS(1-2*C125)</f>
      </c>
      <c r="E125" s="9">
        <f>B125^2*(D125-SIN(D125))/8</f>
      </c>
      <c r="F125" s="9">
        <f>B125*D125/2</f>
      </c>
      <c r="G125" s="9">
        <f>E125/F125</f>
      </c>
      <c r="H125" s="10">
        <f>(1/n_Manning)*SQRT(K_sss/100)*E125*G125^(1/6)*1000</f>
      </c>
      <c r="I125" s="10">
        <f>H125/f_sss</f>
      </c>
      <c r="J125" s="8">
        <f>K_sss/G125</f>
      </c>
      <c r="K125" s="12">
        <f>100/J125</f>
      </c>
      <c r="L125" s="10">
        <f>(H125/1000)/E125</f>
      </c>
      <c r="M125" s="9">
        <f>(H125/1000)*n_Manning/SQRT(K_sss/100)/B125^(13/6)</f>
      </c>
      <c r="N125" s="10">
        <f>(1/n_Manning)*SQRT(K_sc/100)*E125*G125^(1/6)*1000</f>
      </c>
      <c r="O125" s="10">
        <f>N125/f_sc</f>
      </c>
      <c r="P125" s="8">
        <f>K_sc/G125</f>
      </c>
    </row>
    <row r="126">
      <c r="A126" s="18">
        <v>525.0</v>
      </c>
      <c r="B126" s="13">
        <f>A126/1000</f>
      </c>
      <c r="C126" s="16">
        <v>0.85</v>
      </c>
      <c r="D126" s="14">
        <f>2*ACOS(1-2*C126)</f>
      </c>
      <c r="E126" s="9">
        <f>B126^2*(D126-SIN(D126))/8</f>
      </c>
      <c r="F126" s="9">
        <f>B126*D126/2</f>
      </c>
      <c r="G126" s="9">
        <f>E126/F126</f>
      </c>
      <c r="H126" s="10">
        <f>(1/n_Manning)*SQRT(K_sss/100)*E126*G126^(1/6)*1000</f>
      </c>
      <c r="I126" s="10">
        <f>H126/f_sss</f>
      </c>
      <c r="J126" s="8">
        <f>K_sss/G126</f>
      </c>
      <c r="K126" s="12">
        <f>100/J126</f>
      </c>
      <c r="L126" s="10">
        <f>(H126/1000)/E126</f>
      </c>
      <c r="M126" s="9">
        <f>(H126/1000)*n_Manning/SQRT(K_sss/100)/B126^(13/6)</f>
      </c>
      <c r="N126" s="10">
        <f>(1/n_Manning)*SQRT(K_sc/100)*E126*G126^(1/6)*1000</f>
      </c>
      <c r="O126" s="10">
        <f>N126/f_sc</f>
      </c>
      <c r="P126" s="8">
        <f>K_sc/G126</f>
      </c>
    </row>
    <row r="127">
      <c r="A127" s="18">
        <v>525.0</v>
      </c>
      <c r="B127" s="13">
        <f>A127/1000</f>
      </c>
      <c r="C127" s="16">
        <v>0.9</v>
      </c>
      <c r="D127" s="14">
        <f>2*ACOS(1-2*C127)</f>
      </c>
      <c r="E127" s="9">
        <f>B127^2*(D127-SIN(D127))/8</f>
      </c>
      <c r="F127" s="9">
        <f>B127*D127/2</f>
      </c>
      <c r="G127" s="9">
        <f>E127/F127</f>
      </c>
      <c r="H127" s="10">
        <f>(1/n_Manning)*SQRT(K_sss/100)*E127*G127^(1/6)*1000</f>
      </c>
      <c r="I127" s="10">
        <f>H127/f_sss</f>
      </c>
      <c r="J127" s="8">
        <f>K_sss/G127</f>
      </c>
      <c r="K127" s="12">
        <f>100/J127</f>
      </c>
      <c r="L127" s="10">
        <f>(H127/1000)/E127</f>
      </c>
      <c r="M127" s="9">
        <f>(H127/1000)*n_Manning/SQRT(K_sss/100)/B127^(13/6)</f>
      </c>
      <c r="N127" s="10">
        <f>(1/n_Manning)*SQRT(K_sc/100)*E127*G127^(1/6)*1000</f>
      </c>
      <c r="O127" s="10">
        <f>N127/f_sc</f>
      </c>
      <c r="P127" s="8">
        <f>K_sc/G127</f>
      </c>
    </row>
    <row r="128">
      <c r="A128" s="18">
        <v>525.0</v>
      </c>
      <c r="B128" s="13">
        <f>A128/1000</f>
      </c>
      <c r="C128" s="16">
        <v>0.95</v>
      </c>
      <c r="D128" s="14">
        <f>2*ACOS(1-2*C128)</f>
      </c>
      <c r="E128" s="9">
        <f>B128^2*(D128-SIN(D128))/8</f>
      </c>
      <c r="F128" s="9">
        <f>B128*D128/2</f>
      </c>
      <c r="G128" s="9">
        <f>E128/F128</f>
      </c>
      <c r="H128" s="10">
        <f>(1/n_Manning)*SQRT(K_sss/100)*E128*G128^(1/6)*1000</f>
      </c>
      <c r="I128" s="10">
        <f>H128/f_sss</f>
      </c>
      <c r="J128" s="8">
        <f>K_sss/G128</f>
      </c>
      <c r="K128" s="12">
        <f>100/J128</f>
      </c>
      <c r="L128" s="10">
        <f>(H128/1000)/E128</f>
      </c>
      <c r="M128" s="9">
        <f>(H128/1000)*n_Manning/SQRT(K_sss/100)/B128^(13/6)</f>
      </c>
      <c r="N128" s="10">
        <f>(1/n_Manning)*SQRT(K_sc/100)*E128*G128^(1/6)*1000</f>
      </c>
      <c r="O128" s="10">
        <f>N128/f_sc</f>
      </c>
      <c r="P128" s="8">
        <f>K_sc/G128</f>
      </c>
    </row>
    <row r="129">
      <c r="A129" s="18">
        <v>525.0</v>
      </c>
      <c r="B129" s="13">
        <f>A129/1000</f>
      </c>
      <c r="C129" s="16">
        <v>1.0</v>
      </c>
      <c r="D129" s="14">
        <f>2*ACOS(1-2*C129)</f>
      </c>
      <c r="E129" s="9">
        <f>B129^2*(D129-SIN(D129))/8</f>
      </c>
      <c r="F129" s="9">
        <f>B129*D129/2</f>
      </c>
      <c r="G129" s="9">
        <f>E129/F129</f>
      </c>
      <c r="H129" s="10">
        <f>(1/n_Manning)*SQRT(K_sss/100)*E129*G129^(1/6)*1000</f>
      </c>
      <c r="I129" s="10">
        <f>H129/f_sss</f>
      </c>
      <c r="J129" s="8">
        <f>K_sss/G129</f>
      </c>
      <c r="K129" s="12">
        <f>100/J129</f>
      </c>
      <c r="L129" s="10">
        <f>(H129/1000)/E129</f>
      </c>
      <c r="M129" s="9">
        <f>(H129/1000)*n_Manning/SQRT(K_sss/100)/B129^(13/6)</f>
      </c>
      <c r="N129" s="10">
        <f>(1/n_Manning)*SQRT(K_sc/100)*E129*G129^(1/6)*1000</f>
      </c>
      <c r="O129" s="10">
        <f>N129/f_sc</f>
      </c>
      <c r="P129" s="8">
        <f>K_sc/G129</f>
      </c>
    </row>
    <row r="131">
      <c r="A131" s="18">
        <v>600.0</v>
      </c>
      <c r="B131" s="13">
        <f>A131/1000</f>
      </c>
      <c r="C131" s="16">
        <v>0.05</v>
      </c>
      <c r="D131" s="14">
        <f>2*ACOS(1-2*C131)</f>
      </c>
      <c r="E131" s="9">
        <f>B131^2*(D131-SIN(D131))/8</f>
      </c>
      <c r="F131" s="9">
        <f>B131*D131/2</f>
      </c>
      <c r="G131" s="9">
        <f>E131/F131</f>
      </c>
      <c r="H131" s="10">
        <f>(1/n_Manning)*SQRT(K_sss/100)*E131*G131^(1/6)*1000</f>
      </c>
      <c r="I131" s="10">
        <f>H131/f_sss</f>
      </c>
      <c r="J131" s="8">
        <f>K_sss/G131</f>
      </c>
      <c r="K131" s="12">
        <f>100/J131</f>
      </c>
      <c r="L131" s="10">
        <f>(H131/1000)/E131</f>
      </c>
      <c r="M131" s="9">
        <f>(H131/1000)*n_Manning/SQRT(K_sss/100)/B131^(13/6)</f>
      </c>
      <c r="N131" s="10">
        <f>(1/n_Manning)*SQRT(K_sc/100)*E131*G131^(1/6)*1000</f>
      </c>
      <c r="O131" s="10">
        <f>N131/f_sc</f>
      </c>
      <c r="P131" s="8">
        <f>K_sc/G131</f>
      </c>
    </row>
    <row r="132">
      <c r="A132" s="18">
        <v>600.0</v>
      </c>
      <c r="B132" s="13">
        <f>A132/1000</f>
      </c>
      <c r="C132" s="16">
        <v>0.1</v>
      </c>
      <c r="D132" s="14">
        <f>2*ACOS(1-2*C132)</f>
      </c>
      <c r="E132" s="9">
        <f>B132^2*(D132-SIN(D132))/8</f>
      </c>
      <c r="F132" s="9">
        <f>B132*D132/2</f>
      </c>
      <c r="G132" s="9">
        <f>E132/F132</f>
      </c>
      <c r="H132" s="10">
        <f>(1/n_Manning)*SQRT(K_sss/100)*E132*G132^(1/6)*1000</f>
      </c>
      <c r="I132" s="10">
        <f>H132/f_sss</f>
      </c>
      <c r="J132" s="8">
        <f>K_sss/G132</f>
      </c>
      <c r="K132" s="12">
        <f>100/J132</f>
      </c>
      <c r="L132" s="10">
        <f>(H132/1000)/E132</f>
      </c>
      <c r="M132" s="9">
        <f>(H132/1000)*n_Manning/SQRT(K_sss/100)/B132^(13/6)</f>
      </c>
      <c r="N132" s="10">
        <f>(1/n_Manning)*SQRT(K_sc/100)*E132*G132^(1/6)*1000</f>
      </c>
      <c r="O132" s="10">
        <f>N132/f_sc</f>
      </c>
      <c r="P132" s="8">
        <f>K_sc/G132</f>
      </c>
    </row>
    <row r="133">
      <c r="A133" s="18">
        <v>600.0</v>
      </c>
      <c r="B133" s="13">
        <f>A133/1000</f>
      </c>
      <c r="C133" s="16">
        <v>0.15</v>
      </c>
      <c r="D133" s="14">
        <f>2*ACOS(1-2*C133)</f>
      </c>
      <c r="E133" s="9">
        <f>B133^2*(D133-SIN(D133))/8</f>
      </c>
      <c r="F133" s="9">
        <f>B133*D133/2</f>
      </c>
      <c r="G133" s="9">
        <f>E133/F133</f>
      </c>
      <c r="H133" s="10">
        <f>(1/n_Manning)*SQRT(K_sss/100)*E133*G133^(1/6)*1000</f>
      </c>
      <c r="I133" s="10">
        <f>H133/f_sss</f>
      </c>
      <c r="J133" s="8">
        <f>K_sss/G133</f>
      </c>
      <c r="K133" s="12">
        <f>100/J133</f>
      </c>
      <c r="L133" s="10">
        <f>(H133/1000)/E133</f>
      </c>
      <c r="M133" s="9">
        <f>(H133/1000)*n_Manning/SQRT(K_sss/100)/B133^(13/6)</f>
      </c>
      <c r="N133" s="10">
        <f>(1/n_Manning)*SQRT(K_sc/100)*E133*G133^(1/6)*1000</f>
      </c>
      <c r="O133" s="10">
        <f>N133/f_sc</f>
      </c>
      <c r="P133" s="8">
        <f>K_sc/G133</f>
      </c>
    </row>
    <row r="134">
      <c r="A134" s="18">
        <v>600.0</v>
      </c>
      <c r="B134" s="13">
        <f>A134/1000</f>
      </c>
      <c r="C134" s="16">
        <v>0.2</v>
      </c>
      <c r="D134" s="14">
        <f>2*ACOS(1-2*C134)</f>
      </c>
      <c r="E134" s="9">
        <f>B134^2*(D134-SIN(D134))/8</f>
      </c>
      <c r="F134" s="9">
        <f>B134*D134/2</f>
      </c>
      <c r="G134" s="9">
        <f>E134/F134</f>
      </c>
      <c r="H134" s="10">
        <f>(1/n_Manning)*SQRT(K_sss/100)*E134*G134^(1/6)*1000</f>
      </c>
      <c r="I134" s="10">
        <f>H134/f_sss</f>
      </c>
      <c r="J134" s="8">
        <f>K_sss/G134</f>
      </c>
      <c r="K134" s="12">
        <f>100/J134</f>
      </c>
      <c r="L134" s="10">
        <f>(H134/1000)/E134</f>
      </c>
      <c r="M134" s="9">
        <f>(H134/1000)*n_Manning/SQRT(K_sss/100)/B134^(13/6)</f>
      </c>
      <c r="N134" s="10">
        <f>(1/n_Manning)*SQRT(K_sc/100)*E134*G134^(1/6)*1000</f>
      </c>
      <c r="O134" s="10">
        <f>N134/f_sc</f>
      </c>
      <c r="P134" s="8">
        <f>K_sc/G134</f>
      </c>
    </row>
    <row r="135">
      <c r="A135" s="18">
        <v>600.0</v>
      </c>
      <c r="B135" s="13">
        <f>A135/1000</f>
      </c>
      <c r="C135" s="16">
        <v>0.25</v>
      </c>
      <c r="D135" s="14">
        <f>2*ACOS(1-2*C135)</f>
      </c>
      <c r="E135" s="9">
        <f>B135^2*(D135-SIN(D135))/8</f>
      </c>
      <c r="F135" s="9">
        <f>B135*D135/2</f>
      </c>
      <c r="G135" s="9">
        <f>E135/F135</f>
      </c>
      <c r="H135" s="10">
        <f>(1/n_Manning)*SQRT(K_sss/100)*E135*G135^(1/6)*1000</f>
      </c>
      <c r="I135" s="10">
        <f>H135/f_sss</f>
      </c>
      <c r="J135" s="8">
        <f>K_sss/G135</f>
      </c>
      <c r="K135" s="12">
        <f>100/J135</f>
      </c>
      <c r="L135" s="10">
        <f>(H135/1000)/E135</f>
      </c>
      <c r="M135" s="9">
        <f>(H135/1000)*n_Manning/SQRT(K_sss/100)/B135^(13/6)</f>
      </c>
      <c r="N135" s="10">
        <f>(1/n_Manning)*SQRT(K_sc/100)*E135*G135^(1/6)*1000</f>
      </c>
      <c r="O135" s="10">
        <f>N135/f_sc</f>
      </c>
      <c r="P135" s="8">
        <f>K_sc/G135</f>
      </c>
    </row>
    <row r="136">
      <c r="A136" s="18">
        <v>600.0</v>
      </c>
      <c r="B136" s="13">
        <f>A136/1000</f>
      </c>
      <c r="C136" s="16">
        <v>0.3</v>
      </c>
      <c r="D136" s="14">
        <f>2*ACOS(1-2*C136)</f>
      </c>
      <c r="E136" s="9">
        <f>B136^2*(D136-SIN(D136))/8</f>
      </c>
      <c r="F136" s="9">
        <f>B136*D136/2</f>
      </c>
      <c r="G136" s="9">
        <f>E136/F136</f>
      </c>
      <c r="H136" s="10">
        <f>(1/n_Manning)*SQRT(K_sss/100)*E136*G136^(1/6)*1000</f>
      </c>
      <c r="I136" s="10">
        <f>H136/f_sss</f>
      </c>
      <c r="J136" s="8">
        <f>K_sss/G136</f>
      </c>
      <c r="K136" s="12">
        <f>100/J136</f>
      </c>
      <c r="L136" s="10">
        <f>(H136/1000)/E136</f>
      </c>
      <c r="M136" s="9">
        <f>(H136/1000)*n_Manning/SQRT(K_sss/100)/B136^(13/6)</f>
      </c>
      <c r="N136" s="10">
        <f>(1/n_Manning)*SQRT(K_sc/100)*E136*G136^(1/6)*1000</f>
      </c>
      <c r="O136" s="10">
        <f>N136/f_sc</f>
      </c>
      <c r="P136" s="8">
        <f>K_sc/G136</f>
      </c>
    </row>
    <row r="137">
      <c r="A137" s="18">
        <v>600.0</v>
      </c>
      <c r="B137" s="13">
        <f>A137/1000</f>
      </c>
      <c r="C137" s="16">
        <v>0.35</v>
      </c>
      <c r="D137" s="14">
        <f>2*ACOS(1-2*C137)</f>
      </c>
      <c r="E137" s="9">
        <f>B137^2*(D137-SIN(D137))/8</f>
      </c>
      <c r="F137" s="9">
        <f>B137*D137/2</f>
      </c>
      <c r="G137" s="9">
        <f>E137/F137</f>
      </c>
      <c r="H137" s="10">
        <f>(1/n_Manning)*SQRT(K_sss/100)*E137*G137^(1/6)*1000</f>
      </c>
      <c r="I137" s="10">
        <f>H137/f_sss</f>
      </c>
      <c r="J137" s="8">
        <f>K_sss/G137</f>
      </c>
      <c r="K137" s="12">
        <f>100/J137</f>
      </c>
      <c r="L137" s="10">
        <f>(H137/1000)/E137</f>
      </c>
      <c r="M137" s="9">
        <f>(H137/1000)*n_Manning/SQRT(K_sss/100)/B137^(13/6)</f>
      </c>
      <c r="N137" s="10">
        <f>(1/n_Manning)*SQRT(K_sc/100)*E137*G137^(1/6)*1000</f>
      </c>
      <c r="O137" s="10">
        <f>N137/f_sc</f>
      </c>
      <c r="P137" s="8">
        <f>K_sc/G137</f>
      </c>
    </row>
    <row r="138">
      <c r="A138" s="18">
        <v>600.0</v>
      </c>
      <c r="B138" s="13">
        <f>A138/1000</f>
      </c>
      <c r="C138" s="16">
        <v>0.4</v>
      </c>
      <c r="D138" s="14">
        <f>2*ACOS(1-2*C138)</f>
      </c>
      <c r="E138" s="9">
        <f>B138^2*(D138-SIN(D138))/8</f>
      </c>
      <c r="F138" s="9">
        <f>B138*D138/2</f>
      </c>
      <c r="G138" s="9">
        <f>E138/F138</f>
      </c>
      <c r="H138" s="10">
        <f>(1/n_Manning)*SQRT(K_sss/100)*E138*G138^(1/6)*1000</f>
      </c>
      <c r="I138" s="10">
        <f>H138/f_sss</f>
      </c>
      <c r="J138" s="8">
        <f>K_sss/G138</f>
      </c>
      <c r="K138" s="12">
        <f>100/J138</f>
      </c>
      <c r="L138" s="10">
        <f>(H138/1000)/E138</f>
      </c>
      <c r="M138" s="9">
        <f>(H138/1000)*n_Manning/SQRT(K_sss/100)/B138^(13/6)</f>
      </c>
      <c r="N138" s="10">
        <f>(1/n_Manning)*SQRT(K_sc/100)*E138*G138^(1/6)*1000</f>
      </c>
      <c r="O138" s="10">
        <f>N138/f_sc</f>
      </c>
      <c r="P138" s="8">
        <f>K_sc/G138</f>
      </c>
    </row>
    <row r="139">
      <c r="A139" s="18">
        <v>600.0</v>
      </c>
      <c r="B139" s="13">
        <f>A139/1000</f>
      </c>
      <c r="C139" s="16">
        <v>0.45</v>
      </c>
      <c r="D139" s="14">
        <f>2*ACOS(1-2*C139)</f>
      </c>
      <c r="E139" s="9">
        <f>B139^2*(D139-SIN(D139))/8</f>
      </c>
      <c r="F139" s="9">
        <f>B139*D139/2</f>
      </c>
      <c r="G139" s="9">
        <f>E139/F139</f>
      </c>
      <c r="H139" s="10">
        <f>(1/n_Manning)*SQRT(K_sss/100)*E139*G139^(1/6)*1000</f>
      </c>
      <c r="I139" s="10">
        <f>H139/f_sss</f>
      </c>
      <c r="J139" s="8">
        <f>K_sss/G139</f>
      </c>
      <c r="K139" s="12">
        <f>100/J139</f>
      </c>
      <c r="L139" s="10">
        <f>(H139/1000)/E139</f>
      </c>
      <c r="M139" s="9">
        <f>(H139/1000)*n_Manning/SQRT(K_sss/100)/B139^(13/6)</f>
      </c>
      <c r="N139" s="10">
        <f>(1/n_Manning)*SQRT(K_sc/100)*E139*G139^(1/6)*1000</f>
      </c>
      <c r="O139" s="10">
        <f>N139/f_sc</f>
      </c>
      <c r="P139" s="8">
        <f>K_sc/G139</f>
      </c>
    </row>
    <row r="140">
      <c r="A140" s="18">
        <v>600.0</v>
      </c>
      <c r="B140" s="13">
        <f>A140/1000</f>
      </c>
      <c r="C140" s="16">
        <v>0.5</v>
      </c>
      <c r="D140" s="14">
        <f>2*ACOS(1-2*C140)</f>
      </c>
      <c r="E140" s="9">
        <f>B140^2*(D140-SIN(D140))/8</f>
      </c>
      <c r="F140" s="9">
        <f>B140*D140/2</f>
      </c>
      <c r="G140" s="9">
        <f>E140/F140</f>
      </c>
      <c r="H140" s="10">
        <f>(1/n_Manning)*SQRT(K_sss/100)*E140*G140^(1/6)*1000</f>
      </c>
      <c r="I140" s="10">
        <f>H140/f_sss</f>
      </c>
      <c r="J140" s="8">
        <f>K_sss/G140</f>
      </c>
      <c r="K140" s="12">
        <f>100/J140</f>
      </c>
      <c r="L140" s="10">
        <f>(H140/1000)/E140</f>
      </c>
      <c r="M140" s="9">
        <f>(H140/1000)*n_Manning/SQRT(K_sss/100)/B140^(13/6)</f>
      </c>
      <c r="N140" s="10">
        <f>(1/n_Manning)*SQRT(K_sc/100)*E140*G140^(1/6)*1000</f>
      </c>
      <c r="O140" s="10">
        <f>N140/f_sc</f>
      </c>
      <c r="P140" s="8">
        <f>K_sc/G140</f>
      </c>
    </row>
    <row r="141">
      <c r="A141" s="18">
        <v>600.0</v>
      </c>
      <c r="B141" s="13">
        <f>A141/1000</f>
      </c>
      <c r="C141" s="16">
        <v>0.55</v>
      </c>
      <c r="D141" s="14">
        <f>2*ACOS(1-2*C141)</f>
      </c>
      <c r="E141" s="9">
        <f>B141^2*(D141-SIN(D141))/8</f>
      </c>
      <c r="F141" s="9">
        <f>B141*D141/2</f>
      </c>
      <c r="G141" s="9">
        <f>E141/F141</f>
      </c>
      <c r="H141" s="10">
        <f>(1/n_Manning)*SQRT(K_sss/100)*E141*G141^(1/6)*1000</f>
      </c>
      <c r="I141" s="10">
        <f>H141/f_sss</f>
      </c>
      <c r="J141" s="8">
        <f>K_sss/G141</f>
      </c>
      <c r="K141" s="12">
        <f>100/J141</f>
      </c>
      <c r="L141" s="10">
        <f>(H141/1000)/E141</f>
      </c>
      <c r="M141" s="9">
        <f>(H141/1000)*n_Manning/SQRT(K_sss/100)/B141^(13/6)</f>
      </c>
      <c r="N141" s="10">
        <f>(1/n_Manning)*SQRT(K_sc/100)*E141*G141^(1/6)*1000</f>
      </c>
      <c r="O141" s="10">
        <f>N141/f_sc</f>
      </c>
      <c r="P141" s="8">
        <f>K_sc/G141</f>
      </c>
    </row>
    <row r="142">
      <c r="A142" s="18">
        <v>600.0</v>
      </c>
      <c r="B142" s="13">
        <f>A142/1000</f>
      </c>
      <c r="C142" s="16">
        <v>0.6</v>
      </c>
      <c r="D142" s="14">
        <f>2*ACOS(1-2*C142)</f>
      </c>
      <c r="E142" s="9">
        <f>B142^2*(D142-SIN(D142))/8</f>
      </c>
      <c r="F142" s="9">
        <f>B142*D142/2</f>
      </c>
      <c r="G142" s="9">
        <f>E142/F142</f>
      </c>
      <c r="H142" s="10">
        <f>(1/n_Manning)*SQRT(K_sss/100)*E142*G142^(1/6)*1000</f>
      </c>
      <c r="I142" s="10">
        <f>H142/f_sss</f>
      </c>
      <c r="J142" s="8">
        <f>K_sss/G142</f>
      </c>
      <c r="K142" s="12">
        <f>100/J142</f>
      </c>
      <c r="L142" s="10">
        <f>(H142/1000)/E142</f>
      </c>
      <c r="M142" s="9">
        <f>(H142/1000)*n_Manning/SQRT(K_sss/100)/B142^(13/6)</f>
      </c>
      <c r="N142" s="10">
        <f>(1/n_Manning)*SQRT(K_sc/100)*E142*G142^(1/6)*1000</f>
      </c>
      <c r="O142" s="10">
        <f>N142/f_sc</f>
      </c>
      <c r="P142" s="8">
        <f>K_sc/G142</f>
      </c>
    </row>
    <row r="143">
      <c r="A143" s="18">
        <v>600.0</v>
      </c>
      <c r="B143" s="13">
        <f>A143/1000</f>
      </c>
      <c r="C143" s="16">
        <v>0.65</v>
      </c>
      <c r="D143" s="14">
        <f>2*ACOS(1-2*C143)</f>
      </c>
      <c r="E143" s="9">
        <f>B143^2*(D143-SIN(D143))/8</f>
      </c>
      <c r="F143" s="9">
        <f>B143*D143/2</f>
      </c>
      <c r="G143" s="9">
        <f>E143/F143</f>
      </c>
      <c r="H143" s="10">
        <f>(1/n_Manning)*SQRT(K_sss/100)*E143*G143^(1/6)*1000</f>
      </c>
      <c r="I143" s="10">
        <f>H143/f_sss</f>
      </c>
      <c r="J143" s="8">
        <f>K_sss/G143</f>
      </c>
      <c r="K143" s="12">
        <f>100/J143</f>
      </c>
      <c r="L143" s="10">
        <f>(H143/1000)/E143</f>
      </c>
      <c r="M143" s="9">
        <f>(H143/1000)*n_Manning/SQRT(K_sss/100)/B143^(13/6)</f>
      </c>
      <c r="N143" s="10">
        <f>(1/n_Manning)*SQRT(K_sc/100)*E143*G143^(1/6)*1000</f>
      </c>
      <c r="O143" s="10">
        <f>N143/f_sc</f>
      </c>
      <c r="P143" s="8">
        <f>K_sc/G143</f>
      </c>
    </row>
    <row r="144">
      <c r="A144" s="18">
        <v>600.0</v>
      </c>
      <c r="B144" s="13">
        <f>A144/1000</f>
      </c>
      <c r="C144" s="16">
        <v>0.7</v>
      </c>
      <c r="D144" s="14">
        <f>2*ACOS(1-2*C144)</f>
      </c>
      <c r="E144" s="9">
        <f>B144^2*(D144-SIN(D144))/8</f>
      </c>
      <c r="F144" s="9">
        <f>B144*D144/2</f>
      </c>
      <c r="G144" s="9">
        <f>E144/F144</f>
      </c>
      <c r="H144" s="10">
        <f>(1/n_Manning)*SQRT(K_sss/100)*E144*G144^(1/6)*1000</f>
      </c>
      <c r="I144" s="10">
        <f>H144/f_sss</f>
      </c>
      <c r="J144" s="8">
        <f>K_sss/G144</f>
      </c>
      <c r="K144" s="12">
        <f>100/J144</f>
      </c>
      <c r="L144" s="10">
        <f>(H144/1000)/E144</f>
      </c>
      <c r="M144" s="9">
        <f>(H144/1000)*n_Manning/SQRT(K_sss/100)/B144^(13/6)</f>
      </c>
      <c r="N144" s="10">
        <f>(1/n_Manning)*SQRT(K_sc/100)*E144*G144^(1/6)*1000</f>
      </c>
      <c r="O144" s="10">
        <f>N144/f_sc</f>
      </c>
      <c r="P144" s="8">
        <f>K_sc/G144</f>
      </c>
    </row>
    <row r="145">
      <c r="A145" s="18">
        <v>600.0</v>
      </c>
      <c r="B145" s="13">
        <f>A145/1000</f>
      </c>
      <c r="C145" s="16">
        <v>0.75</v>
      </c>
      <c r="D145" s="14">
        <f>2*ACOS(1-2*C145)</f>
      </c>
      <c r="E145" s="9">
        <f>B145^2*(D145-SIN(D145))/8</f>
      </c>
      <c r="F145" s="9">
        <f>B145*D145/2</f>
      </c>
      <c r="G145" s="9">
        <f>E145/F145</f>
      </c>
      <c r="H145" s="10">
        <f>(1/n_Manning)*SQRT(K_sss/100)*E145*G145^(1/6)*1000</f>
      </c>
      <c r="I145" s="10">
        <f>H145/f_sss</f>
      </c>
      <c r="J145" s="8">
        <f>K_sss/G145</f>
      </c>
      <c r="K145" s="12">
        <f>100/J145</f>
      </c>
      <c r="L145" s="10">
        <f>(H145/1000)/E145</f>
      </c>
      <c r="M145" s="9">
        <f>(H145/1000)*n_Manning/SQRT(K_sss/100)/B145^(13/6)</f>
      </c>
      <c r="N145" s="10">
        <f>(1/n_Manning)*SQRT(K_sc/100)*E145*G145^(1/6)*1000</f>
      </c>
      <c r="O145" s="10">
        <f>N145/f_sc</f>
      </c>
      <c r="P145" s="8">
        <f>K_sc/G145</f>
      </c>
    </row>
    <row r="146">
      <c r="A146" s="18">
        <v>600.0</v>
      </c>
      <c r="B146" s="13">
        <f>A146/1000</f>
      </c>
      <c r="C146" s="16">
        <v>0.8</v>
      </c>
      <c r="D146" s="14">
        <f>2*ACOS(1-2*C146)</f>
      </c>
      <c r="E146" s="9">
        <f>B146^2*(D146-SIN(D146))/8</f>
      </c>
      <c r="F146" s="9">
        <f>B146*D146/2</f>
      </c>
      <c r="G146" s="9">
        <f>E146/F146</f>
      </c>
      <c r="H146" s="10">
        <f>(1/n_Manning)*SQRT(K_sss/100)*E146*G146^(1/6)*1000</f>
      </c>
      <c r="I146" s="10">
        <f>H146/f_sss</f>
      </c>
      <c r="J146" s="8">
        <f>K_sss/G146</f>
      </c>
      <c r="K146" s="12">
        <f>100/J146</f>
      </c>
      <c r="L146" s="10">
        <f>(H146/1000)/E146</f>
      </c>
      <c r="M146" s="9">
        <f>(H146/1000)*n_Manning/SQRT(K_sss/100)/B146^(13/6)</f>
      </c>
      <c r="N146" s="10">
        <f>(1/n_Manning)*SQRT(K_sc/100)*E146*G146^(1/6)*1000</f>
      </c>
      <c r="O146" s="10">
        <f>N146/f_sc</f>
      </c>
      <c r="P146" s="8">
        <f>K_sc/G146</f>
      </c>
    </row>
    <row r="147">
      <c r="A147" s="18">
        <v>600.0</v>
      </c>
      <c r="B147" s="13">
        <f>A147/1000</f>
      </c>
      <c r="C147" s="16">
        <v>0.85</v>
      </c>
      <c r="D147" s="14">
        <f>2*ACOS(1-2*C147)</f>
      </c>
      <c r="E147" s="9">
        <f>B147^2*(D147-SIN(D147))/8</f>
      </c>
      <c r="F147" s="9">
        <f>B147*D147/2</f>
      </c>
      <c r="G147" s="9">
        <f>E147/F147</f>
      </c>
      <c r="H147" s="10">
        <f>(1/n_Manning)*SQRT(K_sss/100)*E147*G147^(1/6)*1000</f>
      </c>
      <c r="I147" s="10">
        <f>H147/f_sss</f>
      </c>
      <c r="J147" s="8">
        <f>K_sss/G147</f>
      </c>
      <c r="K147" s="12">
        <f>100/J147</f>
      </c>
      <c r="L147" s="10">
        <f>(H147/1000)/E147</f>
      </c>
      <c r="M147" s="9">
        <f>(H147/1000)*n_Manning/SQRT(K_sss/100)/B147^(13/6)</f>
      </c>
      <c r="N147" s="10">
        <f>(1/n_Manning)*SQRT(K_sc/100)*E147*G147^(1/6)*1000</f>
      </c>
      <c r="O147" s="10">
        <f>N147/f_sc</f>
      </c>
      <c r="P147" s="8">
        <f>K_sc/G147</f>
      </c>
    </row>
    <row r="148">
      <c r="A148" s="18">
        <v>600.0</v>
      </c>
      <c r="B148" s="13">
        <f>A148/1000</f>
      </c>
      <c r="C148" s="16">
        <v>0.9</v>
      </c>
      <c r="D148" s="14">
        <f>2*ACOS(1-2*C148)</f>
      </c>
      <c r="E148" s="9">
        <f>B148^2*(D148-SIN(D148))/8</f>
      </c>
      <c r="F148" s="9">
        <f>B148*D148/2</f>
      </c>
      <c r="G148" s="9">
        <f>E148/F148</f>
      </c>
      <c r="H148" s="10">
        <f>(1/n_Manning)*SQRT(K_sss/100)*E148*G148^(1/6)*1000</f>
      </c>
      <c r="I148" s="10">
        <f>H148/f_sss</f>
      </c>
      <c r="J148" s="8">
        <f>K_sss/G148</f>
      </c>
      <c r="K148" s="12">
        <f>100/J148</f>
      </c>
      <c r="L148" s="10">
        <f>(H148/1000)/E148</f>
      </c>
      <c r="M148" s="9">
        <f>(H148/1000)*n_Manning/SQRT(K_sss/100)/B148^(13/6)</f>
      </c>
      <c r="N148" s="10">
        <f>(1/n_Manning)*SQRT(K_sc/100)*E148*G148^(1/6)*1000</f>
      </c>
      <c r="O148" s="10">
        <f>N148/f_sc</f>
      </c>
      <c r="P148" s="8">
        <f>K_sc/G148</f>
      </c>
    </row>
    <row r="149">
      <c r="A149" s="18">
        <v>600.0</v>
      </c>
      <c r="B149" s="13">
        <f>A149/1000</f>
      </c>
      <c r="C149" s="16">
        <v>0.95</v>
      </c>
      <c r="D149" s="14">
        <f>2*ACOS(1-2*C149)</f>
      </c>
      <c r="E149" s="9">
        <f>B149^2*(D149-SIN(D149))/8</f>
      </c>
      <c r="F149" s="9">
        <f>B149*D149/2</f>
      </c>
      <c r="G149" s="9">
        <f>E149/F149</f>
      </c>
      <c r="H149" s="10">
        <f>(1/n_Manning)*SQRT(K_sss/100)*E149*G149^(1/6)*1000</f>
      </c>
      <c r="I149" s="10">
        <f>H149/f_sss</f>
      </c>
      <c r="J149" s="8">
        <f>K_sss/G149</f>
      </c>
      <c r="K149" s="12">
        <f>100/J149</f>
      </c>
      <c r="L149" s="10">
        <f>(H149/1000)/E149</f>
      </c>
      <c r="M149" s="9">
        <f>(H149/1000)*n_Manning/SQRT(K_sss/100)/B149^(13/6)</f>
      </c>
      <c r="N149" s="10">
        <f>(1/n_Manning)*SQRT(K_sc/100)*E149*G149^(1/6)*1000</f>
      </c>
      <c r="O149" s="10">
        <f>N149/f_sc</f>
      </c>
      <c r="P149" s="8">
        <f>K_sc/G149</f>
      </c>
    </row>
    <row r="150">
      <c r="A150" s="18">
        <v>600.0</v>
      </c>
      <c r="B150" s="13">
        <f>A150/1000</f>
      </c>
      <c r="C150" s="16">
        <v>1.0</v>
      </c>
      <c r="D150" s="14">
        <f>2*ACOS(1-2*C150)</f>
      </c>
      <c r="E150" s="9">
        <f>B150^2*(D150-SIN(D150))/8</f>
      </c>
      <c r="F150" s="9">
        <f>B150*D150/2</f>
      </c>
      <c r="G150" s="9">
        <f>E150/F150</f>
      </c>
      <c r="H150" s="10">
        <f>(1/n_Manning)*SQRT(K_sss/100)*E150*G150^(1/6)*1000</f>
      </c>
      <c r="I150" s="10">
        <f>H150/f_sss</f>
      </c>
      <c r="J150" s="8">
        <f>K_sss/G150</f>
      </c>
      <c r="K150" s="12">
        <f>100/J150</f>
      </c>
      <c r="L150" s="10">
        <f>(H150/1000)/E150</f>
      </c>
      <c r="M150" s="9">
        <f>(H150/1000)*n_Manning/SQRT(K_sss/100)/B150^(13/6)</f>
      </c>
      <c r="N150" s="10">
        <f>(1/n_Manning)*SQRT(K_sc/100)*E150*G150^(1/6)*1000</f>
      </c>
      <c r="O150" s="10">
        <f>N150/f_sc</f>
      </c>
      <c r="P150" s="8">
        <f>K_sc/G150</f>
      </c>
    </row>
    <row r="152">
      <c r="A152" s="18">
        <v>675.0</v>
      </c>
      <c r="B152" s="13">
        <f>A152/1000</f>
      </c>
      <c r="C152" s="16">
        <v>0.05</v>
      </c>
      <c r="D152" s="14">
        <f>2*ACOS(1-2*C152)</f>
      </c>
      <c r="E152" s="9">
        <f>B152^2*(D152-SIN(D152))/8</f>
      </c>
      <c r="F152" s="9">
        <f>B152*D152/2</f>
      </c>
      <c r="G152" s="9">
        <f>E152/F152</f>
      </c>
      <c r="H152" s="10">
        <f>(1/n_Manning)*SQRT(K_sss/100)*E152*G152^(1/6)*1000</f>
      </c>
      <c r="I152" s="10">
        <f>H152/f_sss</f>
      </c>
      <c r="J152" s="8">
        <f>K_sss/G152</f>
      </c>
      <c r="K152" s="12">
        <f>100/J152</f>
      </c>
      <c r="L152" s="10">
        <f>(H152/1000)/E152</f>
      </c>
      <c r="M152" s="9">
        <f>(H152/1000)*n_Manning/SQRT(K_sss/100)/B152^(13/6)</f>
      </c>
      <c r="N152" s="10">
        <f>(1/n_Manning)*SQRT(K_sc/100)*E152*G152^(1/6)*1000</f>
      </c>
      <c r="O152" s="10">
        <f>N152/f_sc</f>
      </c>
      <c r="P152" s="8">
        <f>K_sc/G152</f>
      </c>
    </row>
    <row r="153">
      <c r="A153" s="18">
        <v>675.0</v>
      </c>
      <c r="B153" s="13">
        <f>A153/1000</f>
      </c>
      <c r="C153" s="16">
        <v>0.1</v>
      </c>
      <c r="D153" s="14">
        <f>2*ACOS(1-2*C153)</f>
      </c>
      <c r="E153" s="9">
        <f>B153^2*(D153-SIN(D153))/8</f>
      </c>
      <c r="F153" s="9">
        <f>B153*D153/2</f>
      </c>
      <c r="G153" s="9">
        <f>E153/F153</f>
      </c>
      <c r="H153" s="10">
        <f>(1/n_Manning)*SQRT(K_sss/100)*E153*G153^(1/6)*1000</f>
      </c>
      <c r="I153" s="10">
        <f>H153/f_sss</f>
      </c>
      <c r="J153" s="8">
        <f>K_sss/G153</f>
      </c>
      <c r="K153" s="12">
        <f>100/J153</f>
      </c>
      <c r="L153" s="10">
        <f>(H153/1000)/E153</f>
      </c>
      <c r="M153" s="9">
        <f>(H153/1000)*n_Manning/SQRT(K_sss/100)/B153^(13/6)</f>
      </c>
      <c r="N153" s="10">
        <f>(1/n_Manning)*SQRT(K_sc/100)*E153*G153^(1/6)*1000</f>
      </c>
      <c r="O153" s="10">
        <f>N153/f_sc</f>
      </c>
      <c r="P153" s="8">
        <f>K_sc/G153</f>
      </c>
    </row>
    <row r="154">
      <c r="A154" s="18">
        <v>675.0</v>
      </c>
      <c r="B154" s="13">
        <f>A154/1000</f>
      </c>
      <c r="C154" s="16">
        <v>0.15</v>
      </c>
      <c r="D154" s="14">
        <f>2*ACOS(1-2*C154)</f>
      </c>
      <c r="E154" s="9">
        <f>B154^2*(D154-SIN(D154))/8</f>
      </c>
      <c r="F154" s="9">
        <f>B154*D154/2</f>
      </c>
      <c r="G154" s="9">
        <f>E154/F154</f>
      </c>
      <c r="H154" s="10">
        <f>(1/n_Manning)*SQRT(K_sss/100)*E154*G154^(1/6)*1000</f>
      </c>
      <c r="I154" s="10">
        <f>H154/f_sss</f>
      </c>
      <c r="J154" s="8">
        <f>K_sss/G154</f>
      </c>
      <c r="K154" s="12">
        <f>100/J154</f>
      </c>
      <c r="L154" s="10">
        <f>(H154/1000)/E154</f>
      </c>
      <c r="M154" s="9">
        <f>(H154/1000)*n_Manning/SQRT(K_sss/100)/B154^(13/6)</f>
      </c>
      <c r="N154" s="10">
        <f>(1/n_Manning)*SQRT(K_sc/100)*E154*G154^(1/6)*1000</f>
      </c>
      <c r="O154" s="10">
        <f>N154/f_sc</f>
      </c>
      <c r="P154" s="8">
        <f>K_sc/G154</f>
      </c>
    </row>
    <row r="155">
      <c r="A155" s="18">
        <v>675.0</v>
      </c>
      <c r="B155" s="13">
        <f>A155/1000</f>
      </c>
      <c r="C155" s="16">
        <v>0.2</v>
      </c>
      <c r="D155" s="14">
        <f>2*ACOS(1-2*C155)</f>
      </c>
      <c r="E155" s="9">
        <f>B155^2*(D155-SIN(D155))/8</f>
      </c>
      <c r="F155" s="9">
        <f>B155*D155/2</f>
      </c>
      <c r="G155" s="9">
        <f>E155/F155</f>
      </c>
      <c r="H155" s="10">
        <f>(1/n_Manning)*SQRT(K_sss/100)*E155*G155^(1/6)*1000</f>
      </c>
      <c r="I155" s="10">
        <f>H155/f_sss</f>
      </c>
      <c r="J155" s="8">
        <f>K_sss/G155</f>
      </c>
      <c r="K155" s="12">
        <f>100/J155</f>
      </c>
      <c r="L155" s="10">
        <f>(H155/1000)/E155</f>
      </c>
      <c r="M155" s="9">
        <f>(H155/1000)*n_Manning/SQRT(K_sss/100)/B155^(13/6)</f>
      </c>
      <c r="N155" s="10">
        <f>(1/n_Manning)*SQRT(K_sc/100)*E155*G155^(1/6)*1000</f>
      </c>
      <c r="O155" s="10">
        <f>N155/f_sc</f>
      </c>
      <c r="P155" s="8">
        <f>K_sc/G155</f>
      </c>
    </row>
    <row r="156">
      <c r="A156" s="18">
        <v>675.0</v>
      </c>
      <c r="B156" s="13">
        <f>A156/1000</f>
      </c>
      <c r="C156" s="16">
        <v>0.25</v>
      </c>
      <c r="D156" s="14">
        <f>2*ACOS(1-2*C156)</f>
      </c>
      <c r="E156" s="9">
        <f>B156^2*(D156-SIN(D156))/8</f>
      </c>
      <c r="F156" s="9">
        <f>B156*D156/2</f>
      </c>
      <c r="G156" s="9">
        <f>E156/F156</f>
      </c>
      <c r="H156" s="10">
        <f>(1/n_Manning)*SQRT(K_sss/100)*E156*G156^(1/6)*1000</f>
      </c>
      <c r="I156" s="10">
        <f>H156/f_sss</f>
      </c>
      <c r="J156" s="8">
        <f>K_sss/G156</f>
      </c>
      <c r="K156" s="12">
        <f>100/J156</f>
      </c>
      <c r="L156" s="10">
        <f>(H156/1000)/E156</f>
      </c>
      <c r="M156" s="9">
        <f>(H156/1000)*n_Manning/SQRT(K_sss/100)/B156^(13/6)</f>
      </c>
      <c r="N156" s="10">
        <f>(1/n_Manning)*SQRT(K_sc/100)*E156*G156^(1/6)*1000</f>
      </c>
      <c r="O156" s="10">
        <f>N156/f_sc</f>
      </c>
      <c r="P156" s="8">
        <f>K_sc/G156</f>
      </c>
    </row>
    <row r="157">
      <c r="A157" s="18">
        <v>675.0</v>
      </c>
      <c r="B157" s="13">
        <f>A157/1000</f>
      </c>
      <c r="C157" s="16">
        <v>0.3</v>
      </c>
      <c r="D157" s="14">
        <f>2*ACOS(1-2*C157)</f>
      </c>
      <c r="E157" s="9">
        <f>B157^2*(D157-SIN(D157))/8</f>
      </c>
      <c r="F157" s="9">
        <f>B157*D157/2</f>
      </c>
      <c r="G157" s="9">
        <f>E157/F157</f>
      </c>
      <c r="H157" s="10">
        <f>(1/n_Manning)*SQRT(K_sss/100)*E157*G157^(1/6)*1000</f>
      </c>
      <c r="I157" s="10">
        <f>H157/f_sss</f>
      </c>
      <c r="J157" s="8">
        <f>K_sss/G157</f>
      </c>
      <c r="K157" s="12">
        <f>100/J157</f>
      </c>
      <c r="L157" s="10">
        <f>(H157/1000)/E157</f>
      </c>
      <c r="M157" s="9">
        <f>(H157/1000)*n_Manning/SQRT(K_sss/100)/B157^(13/6)</f>
      </c>
      <c r="N157" s="10">
        <f>(1/n_Manning)*SQRT(K_sc/100)*E157*G157^(1/6)*1000</f>
      </c>
      <c r="O157" s="10">
        <f>N157/f_sc</f>
      </c>
      <c r="P157" s="8">
        <f>K_sc/G157</f>
      </c>
    </row>
    <row r="158">
      <c r="A158" s="18">
        <v>675.0</v>
      </c>
      <c r="B158" s="13">
        <f>A158/1000</f>
      </c>
      <c r="C158" s="16">
        <v>0.35</v>
      </c>
      <c r="D158" s="14">
        <f>2*ACOS(1-2*C158)</f>
      </c>
      <c r="E158" s="9">
        <f>B158^2*(D158-SIN(D158))/8</f>
      </c>
      <c r="F158" s="9">
        <f>B158*D158/2</f>
      </c>
      <c r="G158" s="9">
        <f>E158/F158</f>
      </c>
      <c r="H158" s="10">
        <f>(1/n_Manning)*SQRT(K_sss/100)*E158*G158^(1/6)*1000</f>
      </c>
      <c r="I158" s="10">
        <f>H158/f_sss</f>
      </c>
      <c r="J158" s="8">
        <f>K_sss/G158</f>
      </c>
      <c r="K158" s="12">
        <f>100/J158</f>
      </c>
      <c r="L158" s="10">
        <f>(H158/1000)/E158</f>
      </c>
      <c r="M158" s="9">
        <f>(H158/1000)*n_Manning/SQRT(K_sss/100)/B158^(13/6)</f>
      </c>
      <c r="N158" s="10">
        <f>(1/n_Manning)*SQRT(K_sc/100)*E158*G158^(1/6)*1000</f>
      </c>
      <c r="O158" s="10">
        <f>N158/f_sc</f>
      </c>
      <c r="P158" s="8">
        <f>K_sc/G158</f>
      </c>
    </row>
    <row r="159">
      <c r="A159" s="18">
        <v>675.0</v>
      </c>
      <c r="B159" s="13">
        <f>A159/1000</f>
      </c>
      <c r="C159" s="16">
        <v>0.4</v>
      </c>
      <c r="D159" s="14">
        <f>2*ACOS(1-2*C159)</f>
      </c>
      <c r="E159" s="9">
        <f>B159^2*(D159-SIN(D159))/8</f>
      </c>
      <c r="F159" s="9">
        <f>B159*D159/2</f>
      </c>
      <c r="G159" s="9">
        <f>E159/F159</f>
      </c>
      <c r="H159" s="10">
        <f>(1/n_Manning)*SQRT(K_sss/100)*E159*G159^(1/6)*1000</f>
      </c>
      <c r="I159" s="10">
        <f>H159/f_sss</f>
      </c>
      <c r="J159" s="8">
        <f>K_sss/G159</f>
      </c>
      <c r="K159" s="12">
        <f>100/J159</f>
      </c>
      <c r="L159" s="10">
        <f>(H159/1000)/E159</f>
      </c>
      <c r="M159" s="9">
        <f>(H159/1000)*n_Manning/SQRT(K_sss/100)/B159^(13/6)</f>
      </c>
      <c r="N159" s="10">
        <f>(1/n_Manning)*SQRT(K_sc/100)*E159*G159^(1/6)*1000</f>
      </c>
      <c r="O159" s="10">
        <f>N159/f_sc</f>
      </c>
      <c r="P159" s="8">
        <f>K_sc/G159</f>
      </c>
    </row>
    <row r="160">
      <c r="A160" s="18">
        <v>675.0</v>
      </c>
      <c r="B160" s="13">
        <f>A160/1000</f>
      </c>
      <c r="C160" s="16">
        <v>0.45</v>
      </c>
      <c r="D160" s="14">
        <f>2*ACOS(1-2*C160)</f>
      </c>
      <c r="E160" s="9">
        <f>B160^2*(D160-SIN(D160))/8</f>
      </c>
      <c r="F160" s="9">
        <f>B160*D160/2</f>
      </c>
      <c r="G160" s="9">
        <f>E160/F160</f>
      </c>
      <c r="H160" s="10">
        <f>(1/n_Manning)*SQRT(K_sss/100)*E160*G160^(1/6)*1000</f>
      </c>
      <c r="I160" s="10">
        <f>H160/f_sss</f>
      </c>
      <c r="J160" s="8">
        <f>K_sss/G160</f>
      </c>
      <c r="K160" s="12">
        <f>100/J160</f>
      </c>
      <c r="L160" s="10">
        <f>(H160/1000)/E160</f>
      </c>
      <c r="M160" s="9">
        <f>(H160/1000)*n_Manning/SQRT(K_sss/100)/B160^(13/6)</f>
      </c>
      <c r="N160" s="10">
        <f>(1/n_Manning)*SQRT(K_sc/100)*E160*G160^(1/6)*1000</f>
      </c>
      <c r="O160" s="10">
        <f>N160/f_sc</f>
      </c>
      <c r="P160" s="8">
        <f>K_sc/G160</f>
      </c>
    </row>
    <row r="161">
      <c r="A161" s="18">
        <v>675.0</v>
      </c>
      <c r="B161" s="13">
        <f>A161/1000</f>
      </c>
      <c r="C161" s="16">
        <v>0.5</v>
      </c>
      <c r="D161" s="14">
        <f>2*ACOS(1-2*C161)</f>
      </c>
      <c r="E161" s="9">
        <f>B161^2*(D161-SIN(D161))/8</f>
      </c>
      <c r="F161" s="9">
        <f>B161*D161/2</f>
      </c>
      <c r="G161" s="9">
        <f>E161/F161</f>
      </c>
      <c r="H161" s="10">
        <f>(1/n_Manning)*SQRT(K_sss/100)*E161*G161^(1/6)*1000</f>
      </c>
      <c r="I161" s="10">
        <f>H161/f_sss</f>
      </c>
      <c r="J161" s="8">
        <f>K_sss/G161</f>
      </c>
      <c r="K161" s="12">
        <f>100/J161</f>
      </c>
      <c r="L161" s="10">
        <f>(H161/1000)/E161</f>
      </c>
      <c r="M161" s="9">
        <f>(H161/1000)*n_Manning/SQRT(K_sss/100)/B161^(13/6)</f>
      </c>
      <c r="N161" s="10">
        <f>(1/n_Manning)*SQRT(K_sc/100)*E161*G161^(1/6)*1000</f>
      </c>
      <c r="O161" s="10">
        <f>N161/f_sc</f>
      </c>
      <c r="P161" s="8">
        <f>K_sc/G161</f>
      </c>
    </row>
    <row r="162">
      <c r="A162" s="18">
        <v>675.0</v>
      </c>
      <c r="B162" s="13">
        <f>A162/1000</f>
      </c>
      <c r="C162" s="16">
        <v>0.55</v>
      </c>
      <c r="D162" s="14">
        <f>2*ACOS(1-2*C162)</f>
      </c>
      <c r="E162" s="9">
        <f>B162^2*(D162-SIN(D162))/8</f>
      </c>
      <c r="F162" s="9">
        <f>B162*D162/2</f>
      </c>
      <c r="G162" s="9">
        <f>E162/F162</f>
      </c>
      <c r="H162" s="10">
        <f>(1/n_Manning)*SQRT(K_sss/100)*E162*G162^(1/6)*1000</f>
      </c>
      <c r="I162" s="10">
        <f>H162/f_sss</f>
      </c>
      <c r="J162" s="8">
        <f>K_sss/G162</f>
      </c>
      <c r="K162" s="12">
        <f>100/J162</f>
      </c>
      <c r="L162" s="10">
        <f>(H162/1000)/E162</f>
      </c>
      <c r="M162" s="9">
        <f>(H162/1000)*n_Manning/SQRT(K_sss/100)/B162^(13/6)</f>
      </c>
      <c r="N162" s="10">
        <f>(1/n_Manning)*SQRT(K_sc/100)*E162*G162^(1/6)*1000</f>
      </c>
      <c r="O162" s="10">
        <f>N162/f_sc</f>
      </c>
      <c r="P162" s="8">
        <f>K_sc/G162</f>
      </c>
    </row>
    <row r="163">
      <c r="A163" s="18">
        <v>675.0</v>
      </c>
      <c r="B163" s="13">
        <f>A163/1000</f>
      </c>
      <c r="C163" s="16">
        <v>0.6</v>
      </c>
      <c r="D163" s="14">
        <f>2*ACOS(1-2*C163)</f>
      </c>
      <c r="E163" s="9">
        <f>B163^2*(D163-SIN(D163))/8</f>
      </c>
      <c r="F163" s="9">
        <f>B163*D163/2</f>
      </c>
      <c r="G163" s="9">
        <f>E163/F163</f>
      </c>
      <c r="H163" s="10">
        <f>(1/n_Manning)*SQRT(K_sss/100)*E163*G163^(1/6)*1000</f>
      </c>
      <c r="I163" s="10">
        <f>H163/f_sss</f>
      </c>
      <c r="J163" s="8">
        <f>K_sss/G163</f>
      </c>
      <c r="K163" s="12">
        <f>100/J163</f>
      </c>
      <c r="L163" s="10">
        <f>(H163/1000)/E163</f>
      </c>
      <c r="M163" s="9">
        <f>(H163/1000)*n_Manning/SQRT(K_sss/100)/B163^(13/6)</f>
      </c>
      <c r="N163" s="10">
        <f>(1/n_Manning)*SQRT(K_sc/100)*E163*G163^(1/6)*1000</f>
      </c>
      <c r="O163" s="10">
        <f>N163/f_sc</f>
      </c>
      <c r="P163" s="8">
        <f>K_sc/G163</f>
      </c>
    </row>
    <row r="164">
      <c r="A164" s="18">
        <v>675.0</v>
      </c>
      <c r="B164" s="13">
        <f>A164/1000</f>
      </c>
      <c r="C164" s="16">
        <v>0.65</v>
      </c>
      <c r="D164" s="14">
        <f>2*ACOS(1-2*C164)</f>
      </c>
      <c r="E164" s="9">
        <f>B164^2*(D164-SIN(D164))/8</f>
      </c>
      <c r="F164" s="9">
        <f>B164*D164/2</f>
      </c>
      <c r="G164" s="9">
        <f>E164/F164</f>
      </c>
      <c r="H164" s="10">
        <f>(1/n_Manning)*SQRT(K_sss/100)*E164*G164^(1/6)*1000</f>
      </c>
      <c r="I164" s="10">
        <f>H164/f_sss</f>
      </c>
      <c r="J164" s="8">
        <f>K_sss/G164</f>
      </c>
      <c r="K164" s="12">
        <f>100/J164</f>
      </c>
      <c r="L164" s="10">
        <f>(H164/1000)/E164</f>
      </c>
      <c r="M164" s="9">
        <f>(H164/1000)*n_Manning/SQRT(K_sss/100)/B164^(13/6)</f>
      </c>
      <c r="N164" s="10">
        <f>(1/n_Manning)*SQRT(K_sc/100)*E164*G164^(1/6)*1000</f>
      </c>
      <c r="O164" s="10">
        <f>N164/f_sc</f>
      </c>
      <c r="P164" s="8">
        <f>K_sc/G164</f>
      </c>
    </row>
    <row r="165">
      <c r="A165" s="18">
        <v>675.0</v>
      </c>
      <c r="B165" s="13">
        <f>A165/1000</f>
      </c>
      <c r="C165" s="16">
        <v>0.7</v>
      </c>
      <c r="D165" s="14">
        <f>2*ACOS(1-2*C165)</f>
      </c>
      <c r="E165" s="9">
        <f>B165^2*(D165-SIN(D165))/8</f>
      </c>
      <c r="F165" s="9">
        <f>B165*D165/2</f>
      </c>
      <c r="G165" s="9">
        <f>E165/F165</f>
      </c>
      <c r="H165" s="10">
        <f>(1/n_Manning)*SQRT(K_sss/100)*E165*G165^(1/6)*1000</f>
      </c>
      <c r="I165" s="10">
        <f>H165/f_sss</f>
      </c>
      <c r="J165" s="8">
        <f>K_sss/G165</f>
      </c>
      <c r="K165" s="12">
        <f>100/J165</f>
      </c>
      <c r="L165" s="10">
        <f>(H165/1000)/E165</f>
      </c>
      <c r="M165" s="9">
        <f>(H165/1000)*n_Manning/SQRT(K_sss/100)/B165^(13/6)</f>
      </c>
      <c r="N165" s="10">
        <f>(1/n_Manning)*SQRT(K_sc/100)*E165*G165^(1/6)*1000</f>
      </c>
      <c r="O165" s="10">
        <f>N165/f_sc</f>
      </c>
      <c r="P165" s="8">
        <f>K_sc/G165</f>
      </c>
    </row>
    <row r="166">
      <c r="A166" s="18">
        <v>675.0</v>
      </c>
      <c r="B166" s="13">
        <f>A166/1000</f>
      </c>
      <c r="C166" s="16">
        <v>0.75</v>
      </c>
      <c r="D166" s="14">
        <f>2*ACOS(1-2*C166)</f>
      </c>
      <c r="E166" s="9">
        <f>B166^2*(D166-SIN(D166))/8</f>
      </c>
      <c r="F166" s="9">
        <f>B166*D166/2</f>
      </c>
      <c r="G166" s="9">
        <f>E166/F166</f>
      </c>
      <c r="H166" s="10">
        <f>(1/n_Manning)*SQRT(K_sss/100)*E166*G166^(1/6)*1000</f>
      </c>
      <c r="I166" s="10">
        <f>H166/f_sss</f>
      </c>
      <c r="J166" s="8">
        <f>K_sss/G166</f>
      </c>
      <c r="K166" s="12">
        <f>100/J166</f>
      </c>
      <c r="L166" s="10">
        <f>(H166/1000)/E166</f>
      </c>
      <c r="M166" s="9">
        <f>(H166/1000)*n_Manning/SQRT(K_sss/100)/B166^(13/6)</f>
      </c>
      <c r="N166" s="10">
        <f>(1/n_Manning)*SQRT(K_sc/100)*E166*G166^(1/6)*1000</f>
      </c>
      <c r="O166" s="10">
        <f>N166/f_sc</f>
      </c>
      <c r="P166" s="8">
        <f>K_sc/G166</f>
      </c>
    </row>
    <row r="167">
      <c r="A167" s="18">
        <v>675.0</v>
      </c>
      <c r="B167" s="13">
        <f>A167/1000</f>
      </c>
      <c r="C167" s="16">
        <v>0.8</v>
      </c>
      <c r="D167" s="14">
        <f>2*ACOS(1-2*C167)</f>
      </c>
      <c r="E167" s="9">
        <f>B167^2*(D167-SIN(D167))/8</f>
      </c>
      <c r="F167" s="9">
        <f>B167*D167/2</f>
      </c>
      <c r="G167" s="9">
        <f>E167/F167</f>
      </c>
      <c r="H167" s="10">
        <f>(1/n_Manning)*SQRT(K_sss/100)*E167*G167^(1/6)*1000</f>
      </c>
      <c r="I167" s="10">
        <f>H167/f_sss</f>
      </c>
      <c r="J167" s="8">
        <f>K_sss/G167</f>
      </c>
      <c r="K167" s="12">
        <f>100/J167</f>
      </c>
      <c r="L167" s="10">
        <f>(H167/1000)/E167</f>
      </c>
      <c r="M167" s="9">
        <f>(H167/1000)*n_Manning/SQRT(K_sss/100)/B167^(13/6)</f>
      </c>
      <c r="N167" s="10">
        <f>(1/n_Manning)*SQRT(K_sc/100)*E167*G167^(1/6)*1000</f>
      </c>
      <c r="O167" s="10">
        <f>N167/f_sc</f>
      </c>
      <c r="P167" s="8">
        <f>K_sc/G167</f>
      </c>
    </row>
    <row r="168">
      <c r="A168" s="18">
        <v>675.0</v>
      </c>
      <c r="B168" s="13">
        <f>A168/1000</f>
      </c>
      <c r="C168" s="16">
        <v>0.85</v>
      </c>
      <c r="D168" s="14">
        <f>2*ACOS(1-2*C168)</f>
      </c>
      <c r="E168" s="9">
        <f>B168^2*(D168-SIN(D168))/8</f>
      </c>
      <c r="F168" s="9">
        <f>B168*D168/2</f>
      </c>
      <c r="G168" s="9">
        <f>E168/F168</f>
      </c>
      <c r="H168" s="10">
        <f>(1/n_Manning)*SQRT(K_sss/100)*E168*G168^(1/6)*1000</f>
      </c>
      <c r="I168" s="10">
        <f>H168/f_sss</f>
      </c>
      <c r="J168" s="8">
        <f>K_sss/G168</f>
      </c>
      <c r="K168" s="12">
        <f>100/J168</f>
      </c>
      <c r="L168" s="10">
        <f>(H168/1000)/E168</f>
      </c>
      <c r="M168" s="9">
        <f>(H168/1000)*n_Manning/SQRT(K_sss/100)/B168^(13/6)</f>
      </c>
      <c r="N168" s="10">
        <f>(1/n_Manning)*SQRT(K_sc/100)*E168*G168^(1/6)*1000</f>
      </c>
      <c r="O168" s="10">
        <f>N168/f_sc</f>
      </c>
      <c r="P168" s="8">
        <f>K_sc/G168</f>
      </c>
    </row>
    <row r="169">
      <c r="A169" s="18">
        <v>675.0</v>
      </c>
      <c r="B169" s="13">
        <f>A169/1000</f>
      </c>
      <c r="C169" s="16">
        <v>0.9</v>
      </c>
      <c r="D169" s="14">
        <f>2*ACOS(1-2*C169)</f>
      </c>
      <c r="E169" s="9">
        <f>B169^2*(D169-SIN(D169))/8</f>
      </c>
      <c r="F169" s="9">
        <f>B169*D169/2</f>
      </c>
      <c r="G169" s="9">
        <f>E169/F169</f>
      </c>
      <c r="H169" s="10">
        <f>(1/n_Manning)*SQRT(K_sss/100)*E169*G169^(1/6)*1000</f>
      </c>
      <c r="I169" s="10">
        <f>H169/f_sss</f>
      </c>
      <c r="J169" s="8">
        <f>K_sss/G169</f>
      </c>
      <c r="K169" s="12">
        <f>100/J169</f>
      </c>
      <c r="L169" s="10">
        <f>(H169/1000)/E169</f>
      </c>
      <c r="M169" s="9">
        <f>(H169/1000)*n_Manning/SQRT(K_sss/100)/B169^(13/6)</f>
      </c>
      <c r="N169" s="10">
        <f>(1/n_Manning)*SQRT(K_sc/100)*E169*G169^(1/6)*1000</f>
      </c>
      <c r="O169" s="10">
        <f>N169/f_sc</f>
      </c>
      <c r="P169" s="8">
        <f>K_sc/G169</f>
      </c>
    </row>
    <row r="170">
      <c r="A170" s="18">
        <v>675.0</v>
      </c>
      <c r="B170" s="13">
        <f>A170/1000</f>
      </c>
      <c r="C170" s="16">
        <v>0.95</v>
      </c>
      <c r="D170" s="14">
        <f>2*ACOS(1-2*C170)</f>
      </c>
      <c r="E170" s="9">
        <f>B170^2*(D170-SIN(D170))/8</f>
      </c>
      <c r="F170" s="9">
        <f>B170*D170/2</f>
      </c>
      <c r="G170" s="9">
        <f>E170/F170</f>
      </c>
      <c r="H170" s="10">
        <f>(1/n_Manning)*SQRT(K_sss/100)*E170*G170^(1/6)*1000</f>
      </c>
      <c r="I170" s="10">
        <f>H170/f_sss</f>
      </c>
      <c r="J170" s="8">
        <f>K_sss/G170</f>
      </c>
      <c r="K170" s="12">
        <f>100/J170</f>
      </c>
      <c r="L170" s="10">
        <f>(H170/1000)/E170</f>
      </c>
      <c r="M170" s="9">
        <f>(H170/1000)*n_Manning/SQRT(K_sss/100)/B170^(13/6)</f>
      </c>
      <c r="N170" s="10">
        <f>(1/n_Manning)*SQRT(K_sc/100)*E170*G170^(1/6)*1000</f>
      </c>
      <c r="O170" s="10">
        <f>N170/f_sc</f>
      </c>
      <c r="P170" s="8">
        <f>K_sc/G170</f>
      </c>
    </row>
    <row r="171">
      <c r="A171" s="18">
        <v>675.0</v>
      </c>
      <c r="B171" s="13">
        <f>A171/1000</f>
      </c>
      <c r="C171" s="16">
        <v>1.0</v>
      </c>
      <c r="D171" s="14">
        <f>2*ACOS(1-2*C171)</f>
      </c>
      <c r="E171" s="9">
        <f>B171^2*(D171-SIN(D171))/8</f>
      </c>
      <c r="F171" s="9">
        <f>B171*D171/2</f>
      </c>
      <c r="G171" s="9">
        <f>E171/F171</f>
      </c>
      <c r="H171" s="10">
        <f>(1/n_Manning)*SQRT(K_sss/100)*E171*G171^(1/6)*1000</f>
      </c>
      <c r="I171" s="10">
        <f>H171/f_sss</f>
      </c>
      <c r="J171" s="8">
        <f>K_sss/G171</f>
      </c>
      <c r="K171" s="12">
        <f>100/J171</f>
      </c>
      <c r="L171" s="10">
        <f>(H171/1000)/E171</f>
      </c>
      <c r="M171" s="9">
        <f>(H171/1000)*n_Manning/SQRT(K_sss/100)/B171^(13/6)</f>
      </c>
      <c r="N171" s="10">
        <f>(1/n_Manning)*SQRT(K_sc/100)*E171*G171^(1/6)*1000</f>
      </c>
      <c r="O171" s="10">
        <f>N171/f_sc</f>
      </c>
      <c r="P171" s="8">
        <f>K_sc/G171</f>
      </c>
    </row>
    <row r="173">
      <c r="A173" s="18">
        <v>750.0</v>
      </c>
      <c r="B173" s="13">
        <f>A173/1000</f>
      </c>
      <c r="C173" s="16">
        <v>0.05</v>
      </c>
      <c r="D173" s="14">
        <f>2*ACOS(1-2*C173)</f>
      </c>
      <c r="E173" s="9">
        <f>B173^2*(D173-SIN(D173))/8</f>
      </c>
      <c r="F173" s="9">
        <f>B173*D173/2</f>
      </c>
      <c r="G173" s="9">
        <f>E173/F173</f>
      </c>
      <c r="H173" s="10">
        <f>(1/n_Manning)*SQRT(K_sss/100)*E173*G173^(1/6)*1000</f>
      </c>
      <c r="I173" s="10">
        <f>H173/f_sss</f>
      </c>
      <c r="J173" s="8">
        <f>K_sss/G173</f>
      </c>
      <c r="K173" s="12">
        <f>100/J173</f>
      </c>
      <c r="L173" s="10">
        <f>(H173/1000)/E173</f>
      </c>
      <c r="M173" s="9">
        <f>(H173/1000)*n_Manning/SQRT(K_sss/100)/B173^(13/6)</f>
      </c>
      <c r="N173" s="10">
        <f>(1/n_Manning)*SQRT(K_sc/100)*E173*G173^(1/6)*1000</f>
      </c>
      <c r="O173" s="10">
        <f>N173/f_sc</f>
      </c>
      <c r="P173" s="8">
        <f>K_sc/G173</f>
      </c>
    </row>
    <row r="174">
      <c r="A174" s="18">
        <v>750.0</v>
      </c>
      <c r="B174" s="13">
        <f>A174/1000</f>
      </c>
      <c r="C174" s="16">
        <v>0.1</v>
      </c>
      <c r="D174" s="14">
        <f>2*ACOS(1-2*C174)</f>
      </c>
      <c r="E174" s="9">
        <f>B174^2*(D174-SIN(D174))/8</f>
      </c>
      <c r="F174" s="9">
        <f>B174*D174/2</f>
      </c>
      <c r="G174" s="9">
        <f>E174/F174</f>
      </c>
      <c r="H174" s="10">
        <f>(1/n_Manning)*SQRT(K_sss/100)*E174*G174^(1/6)*1000</f>
      </c>
      <c r="I174" s="10">
        <f>H174/f_sss</f>
      </c>
      <c r="J174" s="8">
        <f>K_sss/G174</f>
      </c>
      <c r="K174" s="12">
        <f>100/J174</f>
      </c>
      <c r="L174" s="10">
        <f>(H174/1000)/E174</f>
      </c>
      <c r="M174" s="9">
        <f>(H174/1000)*n_Manning/SQRT(K_sss/100)/B174^(13/6)</f>
      </c>
      <c r="N174" s="10">
        <f>(1/n_Manning)*SQRT(K_sc/100)*E174*G174^(1/6)*1000</f>
      </c>
      <c r="O174" s="10">
        <f>N174/f_sc</f>
      </c>
      <c r="P174" s="8">
        <f>K_sc/G174</f>
      </c>
    </row>
    <row r="175">
      <c r="A175" s="18">
        <v>750.0</v>
      </c>
      <c r="B175" s="13">
        <f>A175/1000</f>
      </c>
      <c r="C175" s="16">
        <v>0.15</v>
      </c>
      <c r="D175" s="14">
        <f>2*ACOS(1-2*C175)</f>
      </c>
      <c r="E175" s="9">
        <f>B175^2*(D175-SIN(D175))/8</f>
      </c>
      <c r="F175" s="9">
        <f>B175*D175/2</f>
      </c>
      <c r="G175" s="9">
        <f>E175/F175</f>
      </c>
      <c r="H175" s="10">
        <f>(1/n_Manning)*SQRT(K_sss/100)*E175*G175^(1/6)*1000</f>
      </c>
      <c r="I175" s="10">
        <f>H175/f_sss</f>
      </c>
      <c r="J175" s="8">
        <f>K_sss/G175</f>
      </c>
      <c r="K175" s="12">
        <f>100/J175</f>
      </c>
      <c r="L175" s="10">
        <f>(H175/1000)/E175</f>
      </c>
      <c r="M175" s="9">
        <f>(H175/1000)*n_Manning/SQRT(K_sss/100)/B175^(13/6)</f>
      </c>
      <c r="N175" s="10">
        <f>(1/n_Manning)*SQRT(K_sc/100)*E175*G175^(1/6)*1000</f>
      </c>
      <c r="O175" s="10">
        <f>N175/f_sc</f>
      </c>
      <c r="P175" s="8">
        <f>K_sc/G175</f>
      </c>
    </row>
    <row r="176">
      <c r="A176" s="18">
        <v>750.0</v>
      </c>
      <c r="B176" s="13">
        <f>A176/1000</f>
      </c>
      <c r="C176" s="16">
        <v>0.2</v>
      </c>
      <c r="D176" s="14">
        <f>2*ACOS(1-2*C176)</f>
      </c>
      <c r="E176" s="9">
        <f>B176^2*(D176-SIN(D176))/8</f>
      </c>
      <c r="F176" s="9">
        <f>B176*D176/2</f>
      </c>
      <c r="G176" s="9">
        <f>E176/F176</f>
      </c>
      <c r="H176" s="10">
        <f>(1/n_Manning)*SQRT(K_sss/100)*E176*G176^(1/6)*1000</f>
      </c>
      <c r="I176" s="10">
        <f>H176/f_sss</f>
      </c>
      <c r="J176" s="8">
        <f>K_sss/G176</f>
      </c>
      <c r="K176" s="12">
        <f>100/J176</f>
      </c>
      <c r="L176" s="10">
        <f>(H176/1000)/E176</f>
      </c>
      <c r="M176" s="9">
        <f>(H176/1000)*n_Manning/SQRT(K_sss/100)/B176^(13/6)</f>
      </c>
      <c r="N176" s="10">
        <f>(1/n_Manning)*SQRT(K_sc/100)*E176*G176^(1/6)*1000</f>
      </c>
      <c r="O176" s="10">
        <f>N176/f_sc</f>
      </c>
      <c r="P176" s="8">
        <f>K_sc/G176</f>
      </c>
    </row>
    <row r="177">
      <c r="A177" s="18">
        <v>750.0</v>
      </c>
      <c r="B177" s="13">
        <f>A177/1000</f>
      </c>
      <c r="C177" s="16">
        <v>0.25</v>
      </c>
      <c r="D177" s="14">
        <f>2*ACOS(1-2*C177)</f>
      </c>
      <c r="E177" s="9">
        <f>B177^2*(D177-SIN(D177))/8</f>
      </c>
      <c r="F177" s="9">
        <f>B177*D177/2</f>
      </c>
      <c r="G177" s="9">
        <f>E177/F177</f>
      </c>
      <c r="H177" s="10">
        <f>(1/n_Manning)*SQRT(K_sss/100)*E177*G177^(1/6)*1000</f>
      </c>
      <c r="I177" s="10">
        <f>H177/f_sss</f>
      </c>
      <c r="J177" s="8">
        <f>K_sss/G177</f>
      </c>
      <c r="K177" s="12">
        <f>100/J177</f>
      </c>
      <c r="L177" s="10">
        <f>(H177/1000)/E177</f>
      </c>
      <c r="M177" s="9">
        <f>(H177/1000)*n_Manning/SQRT(K_sss/100)/B177^(13/6)</f>
      </c>
      <c r="N177" s="10">
        <f>(1/n_Manning)*SQRT(K_sc/100)*E177*G177^(1/6)*1000</f>
      </c>
      <c r="O177" s="10">
        <f>N177/f_sc</f>
      </c>
      <c r="P177" s="8">
        <f>K_sc/G177</f>
      </c>
    </row>
    <row r="178">
      <c r="A178" s="18">
        <v>750.0</v>
      </c>
      <c r="B178" s="13">
        <f>A178/1000</f>
      </c>
      <c r="C178" s="16">
        <v>0.3</v>
      </c>
      <c r="D178" s="14">
        <f>2*ACOS(1-2*C178)</f>
      </c>
      <c r="E178" s="9">
        <f>B178^2*(D178-SIN(D178))/8</f>
      </c>
      <c r="F178" s="9">
        <f>B178*D178/2</f>
      </c>
      <c r="G178" s="9">
        <f>E178/F178</f>
      </c>
      <c r="H178" s="10">
        <f>(1/n_Manning)*SQRT(K_sss/100)*E178*G178^(1/6)*1000</f>
      </c>
      <c r="I178" s="10">
        <f>H178/f_sss</f>
      </c>
      <c r="J178" s="8">
        <f>K_sss/G178</f>
      </c>
      <c r="K178" s="12">
        <f>100/J178</f>
      </c>
      <c r="L178" s="10">
        <f>(H178/1000)/E178</f>
      </c>
      <c r="M178" s="9">
        <f>(H178/1000)*n_Manning/SQRT(K_sss/100)/B178^(13/6)</f>
      </c>
      <c r="N178" s="10">
        <f>(1/n_Manning)*SQRT(K_sc/100)*E178*G178^(1/6)*1000</f>
      </c>
      <c r="O178" s="10">
        <f>N178/f_sc</f>
      </c>
      <c r="P178" s="8">
        <f>K_sc/G178</f>
      </c>
    </row>
    <row r="179">
      <c r="A179" s="18">
        <v>750.0</v>
      </c>
      <c r="B179" s="13">
        <f>A179/1000</f>
      </c>
      <c r="C179" s="16">
        <v>0.35</v>
      </c>
      <c r="D179" s="14">
        <f>2*ACOS(1-2*C179)</f>
      </c>
      <c r="E179" s="9">
        <f>B179^2*(D179-SIN(D179))/8</f>
      </c>
      <c r="F179" s="9">
        <f>B179*D179/2</f>
      </c>
      <c r="G179" s="9">
        <f>E179/F179</f>
      </c>
      <c r="H179" s="10">
        <f>(1/n_Manning)*SQRT(K_sss/100)*E179*G179^(1/6)*1000</f>
      </c>
      <c r="I179" s="10">
        <f>H179/f_sss</f>
      </c>
      <c r="J179" s="8">
        <f>K_sss/G179</f>
      </c>
      <c r="K179" s="12">
        <f>100/J179</f>
      </c>
      <c r="L179" s="10">
        <f>(H179/1000)/E179</f>
      </c>
      <c r="M179" s="9">
        <f>(H179/1000)*n_Manning/SQRT(K_sss/100)/B179^(13/6)</f>
      </c>
      <c r="N179" s="10">
        <f>(1/n_Manning)*SQRT(K_sc/100)*E179*G179^(1/6)*1000</f>
      </c>
      <c r="O179" s="10">
        <f>N179/f_sc</f>
      </c>
      <c r="P179" s="8">
        <f>K_sc/G179</f>
      </c>
    </row>
    <row r="180">
      <c r="A180" s="18">
        <v>750.0</v>
      </c>
      <c r="B180" s="13">
        <f>A180/1000</f>
      </c>
      <c r="C180" s="16">
        <v>0.4</v>
      </c>
      <c r="D180" s="14">
        <f>2*ACOS(1-2*C180)</f>
      </c>
      <c r="E180" s="9">
        <f>B180^2*(D180-SIN(D180))/8</f>
      </c>
      <c r="F180" s="9">
        <f>B180*D180/2</f>
      </c>
      <c r="G180" s="9">
        <f>E180/F180</f>
      </c>
      <c r="H180" s="10">
        <f>(1/n_Manning)*SQRT(K_sss/100)*E180*G180^(1/6)*1000</f>
      </c>
      <c r="I180" s="10">
        <f>H180/f_sss</f>
      </c>
      <c r="J180" s="8">
        <f>K_sss/G180</f>
      </c>
      <c r="K180" s="12">
        <f>100/J180</f>
      </c>
      <c r="L180" s="10">
        <f>(H180/1000)/E180</f>
      </c>
      <c r="M180" s="9">
        <f>(H180/1000)*n_Manning/SQRT(K_sss/100)/B180^(13/6)</f>
      </c>
      <c r="N180" s="10">
        <f>(1/n_Manning)*SQRT(K_sc/100)*E180*G180^(1/6)*1000</f>
      </c>
      <c r="O180" s="10">
        <f>N180/f_sc</f>
      </c>
      <c r="P180" s="8">
        <f>K_sc/G180</f>
      </c>
    </row>
    <row r="181">
      <c r="A181" s="18">
        <v>750.0</v>
      </c>
      <c r="B181" s="13">
        <f>A181/1000</f>
      </c>
      <c r="C181" s="16">
        <v>0.45</v>
      </c>
      <c r="D181" s="14">
        <f>2*ACOS(1-2*C181)</f>
      </c>
      <c r="E181" s="9">
        <f>B181^2*(D181-SIN(D181))/8</f>
      </c>
      <c r="F181" s="9">
        <f>B181*D181/2</f>
      </c>
      <c r="G181" s="9">
        <f>E181/F181</f>
      </c>
      <c r="H181" s="10">
        <f>(1/n_Manning)*SQRT(K_sss/100)*E181*G181^(1/6)*1000</f>
      </c>
      <c r="I181" s="10">
        <f>H181/f_sss</f>
      </c>
      <c r="J181" s="8">
        <f>K_sss/G181</f>
      </c>
      <c r="K181" s="12">
        <f>100/J181</f>
      </c>
      <c r="L181" s="10">
        <f>(H181/1000)/E181</f>
      </c>
      <c r="M181" s="9">
        <f>(H181/1000)*n_Manning/SQRT(K_sss/100)/B181^(13/6)</f>
      </c>
      <c r="N181" s="10">
        <f>(1/n_Manning)*SQRT(K_sc/100)*E181*G181^(1/6)*1000</f>
      </c>
      <c r="O181" s="10">
        <f>N181/f_sc</f>
      </c>
      <c r="P181" s="8">
        <f>K_sc/G181</f>
      </c>
    </row>
    <row r="182">
      <c r="A182" s="18">
        <v>750.0</v>
      </c>
      <c r="B182" s="13">
        <f>A182/1000</f>
      </c>
      <c r="C182" s="16">
        <v>0.5</v>
      </c>
      <c r="D182" s="14">
        <f>2*ACOS(1-2*C182)</f>
      </c>
      <c r="E182" s="9">
        <f>B182^2*(D182-SIN(D182))/8</f>
      </c>
      <c r="F182" s="9">
        <f>B182*D182/2</f>
      </c>
      <c r="G182" s="9">
        <f>E182/F182</f>
      </c>
      <c r="H182" s="10">
        <f>(1/n_Manning)*SQRT(K_sss/100)*E182*G182^(1/6)*1000</f>
      </c>
      <c r="I182" s="10">
        <f>H182/f_sss</f>
      </c>
      <c r="J182" s="8">
        <f>K_sss/G182</f>
      </c>
      <c r="K182" s="12">
        <f>100/J182</f>
      </c>
      <c r="L182" s="10">
        <f>(H182/1000)/E182</f>
      </c>
      <c r="M182" s="9">
        <f>(H182/1000)*n_Manning/SQRT(K_sss/100)/B182^(13/6)</f>
      </c>
      <c r="N182" s="10">
        <f>(1/n_Manning)*SQRT(K_sc/100)*E182*G182^(1/6)*1000</f>
      </c>
      <c r="O182" s="10">
        <f>N182/f_sc</f>
      </c>
      <c r="P182" s="8">
        <f>K_sc/G182</f>
      </c>
    </row>
    <row r="183">
      <c r="A183" s="18">
        <v>750.0</v>
      </c>
      <c r="B183" s="13">
        <f>A183/1000</f>
      </c>
      <c r="C183" s="16">
        <v>0.55</v>
      </c>
      <c r="D183" s="14">
        <f>2*ACOS(1-2*C183)</f>
      </c>
      <c r="E183" s="9">
        <f>B183^2*(D183-SIN(D183))/8</f>
      </c>
      <c r="F183" s="9">
        <f>B183*D183/2</f>
      </c>
      <c r="G183" s="9">
        <f>E183/F183</f>
      </c>
      <c r="H183" s="10">
        <f>(1/n_Manning)*SQRT(K_sss/100)*E183*G183^(1/6)*1000</f>
      </c>
      <c r="I183" s="10">
        <f>H183/f_sss</f>
      </c>
      <c r="J183" s="8">
        <f>K_sss/G183</f>
      </c>
      <c r="K183" s="12">
        <f>100/J183</f>
      </c>
      <c r="L183" s="10">
        <f>(H183/1000)/E183</f>
      </c>
      <c r="M183" s="9">
        <f>(H183/1000)*n_Manning/SQRT(K_sss/100)/B183^(13/6)</f>
      </c>
      <c r="N183" s="10">
        <f>(1/n_Manning)*SQRT(K_sc/100)*E183*G183^(1/6)*1000</f>
      </c>
      <c r="O183" s="10">
        <f>N183/f_sc</f>
      </c>
      <c r="P183" s="8">
        <f>K_sc/G183</f>
      </c>
    </row>
    <row r="184">
      <c r="A184" s="18">
        <v>750.0</v>
      </c>
      <c r="B184" s="13">
        <f>A184/1000</f>
      </c>
      <c r="C184" s="16">
        <v>0.6</v>
      </c>
      <c r="D184" s="14">
        <f>2*ACOS(1-2*C184)</f>
      </c>
      <c r="E184" s="9">
        <f>B184^2*(D184-SIN(D184))/8</f>
      </c>
      <c r="F184" s="9">
        <f>B184*D184/2</f>
      </c>
      <c r="G184" s="9">
        <f>E184/F184</f>
      </c>
      <c r="H184" s="10">
        <f>(1/n_Manning)*SQRT(K_sss/100)*E184*G184^(1/6)*1000</f>
      </c>
      <c r="I184" s="10">
        <f>H184/f_sss</f>
      </c>
      <c r="J184" s="8">
        <f>K_sss/G184</f>
      </c>
      <c r="K184" s="12">
        <f>100/J184</f>
      </c>
      <c r="L184" s="10">
        <f>(H184/1000)/E184</f>
      </c>
      <c r="M184" s="9">
        <f>(H184/1000)*n_Manning/SQRT(K_sss/100)/B184^(13/6)</f>
      </c>
      <c r="N184" s="10">
        <f>(1/n_Manning)*SQRT(K_sc/100)*E184*G184^(1/6)*1000</f>
      </c>
      <c r="O184" s="10">
        <f>N184/f_sc</f>
      </c>
      <c r="P184" s="8">
        <f>K_sc/G184</f>
      </c>
    </row>
    <row r="185">
      <c r="A185" s="18">
        <v>750.0</v>
      </c>
      <c r="B185" s="13">
        <f>A185/1000</f>
      </c>
      <c r="C185" s="16">
        <v>0.65</v>
      </c>
      <c r="D185" s="14">
        <f>2*ACOS(1-2*C185)</f>
      </c>
      <c r="E185" s="9">
        <f>B185^2*(D185-SIN(D185))/8</f>
      </c>
      <c r="F185" s="9">
        <f>B185*D185/2</f>
      </c>
      <c r="G185" s="9">
        <f>E185/F185</f>
      </c>
      <c r="H185" s="10">
        <f>(1/n_Manning)*SQRT(K_sss/100)*E185*G185^(1/6)*1000</f>
      </c>
      <c r="I185" s="10">
        <f>H185/f_sss</f>
      </c>
      <c r="J185" s="8">
        <f>K_sss/G185</f>
      </c>
      <c r="K185" s="12">
        <f>100/J185</f>
      </c>
      <c r="L185" s="10">
        <f>(H185/1000)/E185</f>
      </c>
      <c r="M185" s="9">
        <f>(H185/1000)*n_Manning/SQRT(K_sss/100)/B185^(13/6)</f>
      </c>
      <c r="N185" s="10">
        <f>(1/n_Manning)*SQRT(K_sc/100)*E185*G185^(1/6)*1000</f>
      </c>
      <c r="O185" s="10">
        <f>N185/f_sc</f>
      </c>
      <c r="P185" s="8">
        <f>K_sc/G185</f>
      </c>
    </row>
    <row r="186">
      <c r="A186" s="18">
        <v>750.0</v>
      </c>
      <c r="B186" s="13">
        <f>A186/1000</f>
      </c>
      <c r="C186" s="16">
        <v>0.7</v>
      </c>
      <c r="D186" s="14">
        <f>2*ACOS(1-2*C186)</f>
      </c>
      <c r="E186" s="9">
        <f>B186^2*(D186-SIN(D186))/8</f>
      </c>
      <c r="F186" s="9">
        <f>B186*D186/2</f>
      </c>
      <c r="G186" s="9">
        <f>E186/F186</f>
      </c>
      <c r="H186" s="10">
        <f>(1/n_Manning)*SQRT(K_sss/100)*E186*G186^(1/6)*1000</f>
      </c>
      <c r="I186" s="10">
        <f>H186/f_sss</f>
      </c>
      <c r="J186" s="8">
        <f>K_sss/G186</f>
      </c>
      <c r="K186" s="12">
        <f>100/J186</f>
      </c>
      <c r="L186" s="10">
        <f>(H186/1000)/E186</f>
      </c>
      <c r="M186" s="9">
        <f>(H186/1000)*n_Manning/SQRT(K_sss/100)/B186^(13/6)</f>
      </c>
      <c r="N186" s="10">
        <f>(1/n_Manning)*SQRT(K_sc/100)*E186*G186^(1/6)*1000</f>
      </c>
      <c r="O186" s="10">
        <f>N186/f_sc</f>
      </c>
      <c r="P186" s="8">
        <f>K_sc/G186</f>
      </c>
    </row>
    <row r="187">
      <c r="A187" s="18">
        <v>750.0</v>
      </c>
      <c r="B187" s="13">
        <f>A187/1000</f>
      </c>
      <c r="C187" s="16">
        <v>0.75</v>
      </c>
      <c r="D187" s="14">
        <f>2*ACOS(1-2*C187)</f>
      </c>
      <c r="E187" s="9">
        <f>B187^2*(D187-SIN(D187))/8</f>
      </c>
      <c r="F187" s="9">
        <f>B187*D187/2</f>
      </c>
      <c r="G187" s="9">
        <f>E187/F187</f>
      </c>
      <c r="H187" s="10">
        <f>(1/n_Manning)*SQRT(K_sss/100)*E187*G187^(1/6)*1000</f>
      </c>
      <c r="I187" s="10">
        <f>H187/f_sss</f>
      </c>
      <c r="J187" s="8">
        <f>K_sss/G187</f>
      </c>
      <c r="K187" s="12">
        <f>100/J187</f>
      </c>
      <c r="L187" s="10">
        <f>(H187/1000)/E187</f>
      </c>
      <c r="M187" s="9">
        <f>(H187/1000)*n_Manning/SQRT(K_sss/100)/B187^(13/6)</f>
      </c>
      <c r="N187" s="10">
        <f>(1/n_Manning)*SQRT(K_sc/100)*E187*G187^(1/6)*1000</f>
      </c>
      <c r="O187" s="10">
        <f>N187/f_sc</f>
      </c>
      <c r="P187" s="8">
        <f>K_sc/G187</f>
      </c>
    </row>
    <row r="188">
      <c r="A188" s="18">
        <v>750.0</v>
      </c>
      <c r="B188" s="13">
        <f>A188/1000</f>
      </c>
      <c r="C188" s="16">
        <v>0.8</v>
      </c>
      <c r="D188" s="14">
        <f>2*ACOS(1-2*C188)</f>
      </c>
      <c r="E188" s="9">
        <f>B188^2*(D188-SIN(D188))/8</f>
      </c>
      <c r="F188" s="9">
        <f>B188*D188/2</f>
      </c>
      <c r="G188" s="9">
        <f>E188/F188</f>
      </c>
      <c r="H188" s="10">
        <f>(1/n_Manning)*SQRT(K_sss/100)*E188*G188^(1/6)*1000</f>
      </c>
      <c r="I188" s="10">
        <f>H188/f_sss</f>
      </c>
      <c r="J188" s="8">
        <f>K_sss/G188</f>
      </c>
      <c r="K188" s="12">
        <f>100/J188</f>
      </c>
      <c r="L188" s="10">
        <f>(H188/1000)/E188</f>
      </c>
      <c r="M188" s="9">
        <f>(H188/1000)*n_Manning/SQRT(K_sss/100)/B188^(13/6)</f>
      </c>
      <c r="N188" s="10">
        <f>(1/n_Manning)*SQRT(K_sc/100)*E188*G188^(1/6)*1000</f>
      </c>
      <c r="O188" s="10">
        <f>N188/f_sc</f>
      </c>
      <c r="P188" s="8">
        <f>K_sc/G188</f>
      </c>
    </row>
    <row r="189">
      <c r="A189" s="18">
        <v>750.0</v>
      </c>
      <c r="B189" s="13">
        <f>A189/1000</f>
      </c>
      <c r="C189" s="16">
        <v>0.85</v>
      </c>
      <c r="D189" s="14">
        <f>2*ACOS(1-2*C189)</f>
      </c>
      <c r="E189" s="9">
        <f>B189^2*(D189-SIN(D189))/8</f>
      </c>
      <c r="F189" s="9">
        <f>B189*D189/2</f>
      </c>
      <c r="G189" s="9">
        <f>E189/F189</f>
      </c>
      <c r="H189" s="10">
        <f>(1/n_Manning)*SQRT(K_sss/100)*E189*G189^(1/6)*1000</f>
      </c>
      <c r="I189" s="10">
        <f>H189/f_sss</f>
      </c>
      <c r="J189" s="8">
        <f>K_sss/G189</f>
      </c>
      <c r="K189" s="12">
        <f>100/J189</f>
      </c>
      <c r="L189" s="10">
        <f>(H189/1000)/E189</f>
      </c>
      <c r="M189" s="9">
        <f>(H189/1000)*n_Manning/SQRT(K_sss/100)/B189^(13/6)</f>
      </c>
      <c r="N189" s="10">
        <f>(1/n_Manning)*SQRT(K_sc/100)*E189*G189^(1/6)*1000</f>
      </c>
      <c r="O189" s="10">
        <f>N189/f_sc</f>
      </c>
      <c r="P189" s="8">
        <f>K_sc/G189</f>
      </c>
    </row>
    <row r="190">
      <c r="A190" s="18">
        <v>750.0</v>
      </c>
      <c r="B190" s="13">
        <f>A190/1000</f>
      </c>
      <c r="C190" s="16">
        <v>0.9</v>
      </c>
      <c r="D190" s="14">
        <f>2*ACOS(1-2*C190)</f>
      </c>
      <c r="E190" s="9">
        <f>B190^2*(D190-SIN(D190))/8</f>
      </c>
      <c r="F190" s="9">
        <f>B190*D190/2</f>
      </c>
      <c r="G190" s="9">
        <f>E190/F190</f>
      </c>
      <c r="H190" s="10">
        <f>(1/n_Manning)*SQRT(K_sss/100)*E190*G190^(1/6)*1000</f>
      </c>
      <c r="I190" s="10">
        <f>H190/f_sss</f>
      </c>
      <c r="J190" s="8">
        <f>K_sss/G190</f>
      </c>
      <c r="K190" s="12">
        <f>100/J190</f>
      </c>
      <c r="L190" s="10">
        <f>(H190/1000)/E190</f>
      </c>
      <c r="M190" s="9">
        <f>(H190/1000)*n_Manning/SQRT(K_sss/100)/B190^(13/6)</f>
      </c>
      <c r="N190" s="10">
        <f>(1/n_Manning)*SQRT(K_sc/100)*E190*G190^(1/6)*1000</f>
      </c>
      <c r="O190" s="10">
        <f>N190/f_sc</f>
      </c>
      <c r="P190" s="8">
        <f>K_sc/G190</f>
      </c>
    </row>
    <row r="191">
      <c r="A191" s="18">
        <v>750.0</v>
      </c>
      <c r="B191" s="13">
        <f>A191/1000</f>
      </c>
      <c r="C191" s="16">
        <v>0.95</v>
      </c>
      <c r="D191" s="14">
        <f>2*ACOS(1-2*C191)</f>
      </c>
      <c r="E191" s="9">
        <f>B191^2*(D191-SIN(D191))/8</f>
      </c>
      <c r="F191" s="9">
        <f>B191*D191/2</f>
      </c>
      <c r="G191" s="9">
        <f>E191/F191</f>
      </c>
      <c r="H191" s="10">
        <f>(1/n_Manning)*SQRT(K_sss/100)*E191*G191^(1/6)*1000</f>
      </c>
      <c r="I191" s="10">
        <f>H191/f_sss</f>
      </c>
      <c r="J191" s="8">
        <f>K_sss/G191</f>
      </c>
      <c r="K191" s="12">
        <f>100/J191</f>
      </c>
      <c r="L191" s="10">
        <f>(H191/1000)/E191</f>
      </c>
      <c r="M191" s="9">
        <f>(H191/1000)*n_Manning/SQRT(K_sss/100)/B191^(13/6)</f>
      </c>
      <c r="N191" s="10">
        <f>(1/n_Manning)*SQRT(K_sc/100)*E191*G191^(1/6)*1000</f>
      </c>
      <c r="O191" s="10">
        <f>N191/f_sc</f>
      </c>
      <c r="P191" s="8">
        <f>K_sc/G191</f>
      </c>
    </row>
    <row r="192">
      <c r="A192" s="18">
        <v>750.0</v>
      </c>
      <c r="B192" s="13">
        <f>A192/1000</f>
      </c>
      <c r="C192" s="16">
        <v>1.0</v>
      </c>
      <c r="D192" s="14">
        <f>2*ACOS(1-2*C192)</f>
      </c>
      <c r="E192" s="9">
        <f>B192^2*(D192-SIN(D192))/8</f>
      </c>
      <c r="F192" s="9">
        <f>B192*D192/2</f>
      </c>
      <c r="G192" s="9">
        <f>E192/F192</f>
      </c>
      <c r="H192" s="10">
        <f>(1/n_Manning)*SQRT(K_sss/100)*E192*G192^(1/6)*1000</f>
      </c>
      <c r="I192" s="10">
        <f>H192/f_sss</f>
      </c>
      <c r="J192" s="8">
        <f>K_sss/G192</f>
      </c>
      <c r="K192" s="12">
        <f>100/J192</f>
      </c>
      <c r="L192" s="10">
        <f>(H192/1000)/E192</f>
      </c>
      <c r="M192" s="9">
        <f>(H192/1000)*n_Manning/SQRT(K_sss/100)/B192^(13/6)</f>
      </c>
      <c r="N192" s="10">
        <f>(1/n_Manning)*SQRT(K_sc/100)*E192*G192^(1/6)*1000</f>
      </c>
      <c r="O192" s="10">
        <f>N192/f_sc</f>
      </c>
      <c r="P192" s="8">
        <f>K_sc/G192</f>
      </c>
    </row>
    <row r="194">
      <c r="A194" s="18">
        <v>900.0</v>
      </c>
      <c r="B194" s="13">
        <f>A194/1000</f>
      </c>
      <c r="C194" s="16">
        <v>0.05</v>
      </c>
      <c r="D194" s="14">
        <f>2*ACOS(1-2*C194)</f>
      </c>
      <c r="E194" s="9">
        <f>B194^2*(D194-SIN(D194))/8</f>
      </c>
      <c r="F194" s="9">
        <f>B194*D194/2</f>
      </c>
      <c r="G194" s="9">
        <f>E194/F194</f>
      </c>
      <c r="H194" s="10">
        <f>(1/n_Manning)*SQRT(K_sss/100)*E194*G194^(1/6)*1000</f>
      </c>
      <c r="I194" s="10">
        <f>H194/f_sss</f>
      </c>
      <c r="J194" s="8">
        <f>K_sss/G194</f>
      </c>
      <c r="K194" s="12">
        <f>100/J194</f>
      </c>
      <c r="L194" s="10">
        <f>(H194/1000)/E194</f>
      </c>
      <c r="M194" s="9">
        <f>(H194/1000)*n_Manning/SQRT(K_sss/100)/B194^(13/6)</f>
      </c>
      <c r="N194" s="10">
        <f>(1/n_Manning)*SQRT(K_sc/100)*E194*G194^(1/6)*1000</f>
      </c>
      <c r="O194" s="10">
        <f>N194/f_sc</f>
      </c>
      <c r="P194" s="8">
        <f>K_sc/G194</f>
      </c>
    </row>
    <row r="195">
      <c r="A195" s="18">
        <v>900.0</v>
      </c>
      <c r="B195" s="13">
        <f>A195/1000</f>
      </c>
      <c r="C195" s="16">
        <v>0.1</v>
      </c>
      <c r="D195" s="14">
        <f>2*ACOS(1-2*C195)</f>
      </c>
      <c r="E195" s="9">
        <f>B195^2*(D195-SIN(D195))/8</f>
      </c>
      <c r="F195" s="9">
        <f>B195*D195/2</f>
      </c>
      <c r="G195" s="9">
        <f>E195/F195</f>
      </c>
      <c r="H195" s="10">
        <f>(1/n_Manning)*SQRT(K_sss/100)*E195*G195^(1/6)*1000</f>
      </c>
      <c r="I195" s="10">
        <f>H195/f_sss</f>
      </c>
      <c r="J195" s="8">
        <f>K_sss/G195</f>
      </c>
      <c r="K195" s="12">
        <f>100/J195</f>
      </c>
      <c r="L195" s="10">
        <f>(H195/1000)/E195</f>
      </c>
      <c r="M195" s="9">
        <f>(H195/1000)*n_Manning/SQRT(K_sss/100)/B195^(13/6)</f>
      </c>
      <c r="N195" s="10">
        <f>(1/n_Manning)*SQRT(K_sc/100)*E195*G195^(1/6)*1000</f>
      </c>
      <c r="O195" s="10">
        <f>N195/f_sc</f>
      </c>
      <c r="P195" s="8">
        <f>K_sc/G195</f>
      </c>
    </row>
    <row r="196">
      <c r="A196" s="18">
        <v>900.0</v>
      </c>
      <c r="B196" s="13">
        <f>A196/1000</f>
      </c>
      <c r="C196" s="16">
        <v>0.15</v>
      </c>
      <c r="D196" s="14">
        <f>2*ACOS(1-2*C196)</f>
      </c>
      <c r="E196" s="9">
        <f>B196^2*(D196-SIN(D196))/8</f>
      </c>
      <c r="F196" s="9">
        <f>B196*D196/2</f>
      </c>
      <c r="G196" s="9">
        <f>E196/F196</f>
      </c>
      <c r="H196" s="10">
        <f>(1/n_Manning)*SQRT(K_sss/100)*E196*G196^(1/6)*1000</f>
      </c>
      <c r="I196" s="10">
        <f>H196/f_sss</f>
      </c>
      <c r="J196" s="8">
        <f>K_sss/G196</f>
      </c>
      <c r="K196" s="12">
        <f>100/J196</f>
      </c>
      <c r="L196" s="10">
        <f>(H196/1000)/E196</f>
      </c>
      <c r="M196" s="9">
        <f>(H196/1000)*n_Manning/SQRT(K_sss/100)/B196^(13/6)</f>
      </c>
      <c r="N196" s="10">
        <f>(1/n_Manning)*SQRT(K_sc/100)*E196*G196^(1/6)*1000</f>
      </c>
      <c r="O196" s="10">
        <f>N196/f_sc</f>
      </c>
      <c r="P196" s="8">
        <f>K_sc/G196</f>
      </c>
    </row>
    <row r="197">
      <c r="A197" s="18">
        <v>900.0</v>
      </c>
      <c r="B197" s="13">
        <f>A197/1000</f>
      </c>
      <c r="C197" s="16">
        <v>0.2</v>
      </c>
      <c r="D197" s="14">
        <f>2*ACOS(1-2*C197)</f>
      </c>
      <c r="E197" s="9">
        <f>B197^2*(D197-SIN(D197))/8</f>
      </c>
      <c r="F197" s="9">
        <f>B197*D197/2</f>
      </c>
      <c r="G197" s="9">
        <f>E197/F197</f>
      </c>
      <c r="H197" s="10">
        <f>(1/n_Manning)*SQRT(K_sss/100)*E197*G197^(1/6)*1000</f>
      </c>
      <c r="I197" s="10">
        <f>H197/f_sss</f>
      </c>
      <c r="J197" s="8">
        <f>K_sss/G197</f>
      </c>
      <c r="K197" s="12">
        <f>100/J197</f>
      </c>
      <c r="L197" s="10">
        <f>(H197/1000)/E197</f>
      </c>
      <c r="M197" s="9">
        <f>(H197/1000)*n_Manning/SQRT(K_sss/100)/B197^(13/6)</f>
      </c>
      <c r="N197" s="10">
        <f>(1/n_Manning)*SQRT(K_sc/100)*E197*G197^(1/6)*1000</f>
      </c>
      <c r="O197" s="10">
        <f>N197/f_sc</f>
      </c>
      <c r="P197" s="8">
        <f>K_sc/G197</f>
      </c>
    </row>
    <row r="198">
      <c r="A198" s="18">
        <v>900.0</v>
      </c>
      <c r="B198" s="13">
        <f>A198/1000</f>
      </c>
      <c r="C198" s="16">
        <v>0.25</v>
      </c>
      <c r="D198" s="14">
        <f>2*ACOS(1-2*C198)</f>
      </c>
      <c r="E198" s="9">
        <f>B198^2*(D198-SIN(D198))/8</f>
      </c>
      <c r="F198" s="9">
        <f>B198*D198/2</f>
      </c>
      <c r="G198" s="9">
        <f>E198/F198</f>
      </c>
      <c r="H198" s="10">
        <f>(1/n_Manning)*SQRT(K_sss/100)*E198*G198^(1/6)*1000</f>
      </c>
      <c r="I198" s="10">
        <f>H198/f_sss</f>
      </c>
      <c r="J198" s="8">
        <f>K_sss/G198</f>
      </c>
      <c r="K198" s="12">
        <f>100/J198</f>
      </c>
      <c r="L198" s="10">
        <f>(H198/1000)/E198</f>
      </c>
      <c r="M198" s="9">
        <f>(H198/1000)*n_Manning/SQRT(K_sss/100)/B198^(13/6)</f>
      </c>
      <c r="N198" s="10">
        <f>(1/n_Manning)*SQRT(K_sc/100)*E198*G198^(1/6)*1000</f>
      </c>
      <c r="O198" s="10">
        <f>N198/f_sc</f>
      </c>
      <c r="P198" s="8">
        <f>K_sc/G198</f>
      </c>
    </row>
    <row r="199">
      <c r="A199" s="18">
        <v>900.0</v>
      </c>
      <c r="B199" s="13">
        <f>A199/1000</f>
      </c>
      <c r="C199" s="16">
        <v>0.3</v>
      </c>
      <c r="D199" s="14">
        <f>2*ACOS(1-2*C199)</f>
      </c>
      <c r="E199" s="9">
        <f>B199^2*(D199-SIN(D199))/8</f>
      </c>
      <c r="F199" s="9">
        <f>B199*D199/2</f>
      </c>
      <c r="G199" s="9">
        <f>E199/F199</f>
      </c>
      <c r="H199" s="10">
        <f>(1/n_Manning)*SQRT(K_sss/100)*E199*G199^(1/6)*1000</f>
      </c>
      <c r="I199" s="10">
        <f>H199/f_sss</f>
      </c>
      <c r="J199" s="8">
        <f>K_sss/G199</f>
      </c>
      <c r="K199" s="12">
        <f>100/J199</f>
      </c>
      <c r="L199" s="10">
        <f>(H199/1000)/E199</f>
      </c>
      <c r="M199" s="9">
        <f>(H199/1000)*n_Manning/SQRT(K_sss/100)/B199^(13/6)</f>
      </c>
      <c r="N199" s="10">
        <f>(1/n_Manning)*SQRT(K_sc/100)*E199*G199^(1/6)*1000</f>
      </c>
      <c r="O199" s="10">
        <f>N199/f_sc</f>
      </c>
      <c r="P199" s="8">
        <f>K_sc/G199</f>
      </c>
    </row>
    <row r="200">
      <c r="A200" s="18">
        <v>900.0</v>
      </c>
      <c r="B200" s="13">
        <f>A200/1000</f>
      </c>
      <c r="C200" s="16">
        <v>0.35</v>
      </c>
      <c r="D200" s="14">
        <f>2*ACOS(1-2*C200)</f>
      </c>
      <c r="E200" s="9">
        <f>B200^2*(D200-SIN(D200))/8</f>
      </c>
      <c r="F200" s="9">
        <f>B200*D200/2</f>
      </c>
      <c r="G200" s="9">
        <f>E200/F200</f>
      </c>
      <c r="H200" s="10">
        <f>(1/n_Manning)*SQRT(K_sss/100)*E200*G200^(1/6)*1000</f>
      </c>
      <c r="I200" s="10">
        <f>H200/f_sss</f>
      </c>
      <c r="J200" s="8">
        <f>K_sss/G200</f>
      </c>
      <c r="K200" s="12">
        <f>100/J200</f>
      </c>
      <c r="L200" s="10">
        <f>(H200/1000)/E200</f>
      </c>
      <c r="M200" s="9">
        <f>(H200/1000)*n_Manning/SQRT(K_sss/100)/B200^(13/6)</f>
      </c>
      <c r="N200" s="10">
        <f>(1/n_Manning)*SQRT(K_sc/100)*E200*G200^(1/6)*1000</f>
      </c>
      <c r="O200" s="10">
        <f>N200/f_sc</f>
      </c>
      <c r="P200" s="8">
        <f>K_sc/G200</f>
      </c>
    </row>
    <row r="201">
      <c r="A201" s="18">
        <v>900.0</v>
      </c>
      <c r="B201" s="13">
        <f>A201/1000</f>
      </c>
      <c r="C201" s="16">
        <v>0.4</v>
      </c>
      <c r="D201" s="14">
        <f>2*ACOS(1-2*C201)</f>
      </c>
      <c r="E201" s="9">
        <f>B201^2*(D201-SIN(D201))/8</f>
      </c>
      <c r="F201" s="9">
        <f>B201*D201/2</f>
      </c>
      <c r="G201" s="9">
        <f>E201/F201</f>
      </c>
      <c r="H201" s="10">
        <f>(1/n_Manning)*SQRT(K_sss/100)*E201*G201^(1/6)*1000</f>
      </c>
      <c r="I201" s="10">
        <f>H201/f_sss</f>
      </c>
      <c r="J201" s="8">
        <f>K_sss/G201</f>
      </c>
      <c r="K201" s="12">
        <f>100/J201</f>
      </c>
      <c r="L201" s="10">
        <f>(H201/1000)/E201</f>
      </c>
      <c r="M201" s="9">
        <f>(H201/1000)*n_Manning/SQRT(K_sss/100)/B201^(13/6)</f>
      </c>
      <c r="N201" s="10">
        <f>(1/n_Manning)*SQRT(K_sc/100)*E201*G201^(1/6)*1000</f>
      </c>
      <c r="O201" s="10">
        <f>N201/f_sc</f>
      </c>
      <c r="P201" s="8">
        <f>K_sc/G201</f>
      </c>
    </row>
    <row r="202">
      <c r="A202" s="18">
        <v>900.0</v>
      </c>
      <c r="B202" s="13">
        <f>A202/1000</f>
      </c>
      <c r="C202" s="16">
        <v>0.45</v>
      </c>
      <c r="D202" s="14">
        <f>2*ACOS(1-2*C202)</f>
      </c>
      <c r="E202" s="9">
        <f>B202^2*(D202-SIN(D202))/8</f>
      </c>
      <c r="F202" s="9">
        <f>B202*D202/2</f>
      </c>
      <c r="G202" s="9">
        <f>E202/F202</f>
      </c>
      <c r="H202" s="10">
        <f>(1/n_Manning)*SQRT(K_sss/100)*E202*G202^(1/6)*1000</f>
      </c>
      <c r="I202" s="10">
        <f>H202/f_sss</f>
      </c>
      <c r="J202" s="8">
        <f>K_sss/G202</f>
      </c>
      <c r="K202" s="12">
        <f>100/J202</f>
      </c>
      <c r="L202" s="10">
        <f>(H202/1000)/E202</f>
      </c>
      <c r="M202" s="9">
        <f>(H202/1000)*n_Manning/SQRT(K_sss/100)/B202^(13/6)</f>
      </c>
      <c r="N202" s="10">
        <f>(1/n_Manning)*SQRT(K_sc/100)*E202*G202^(1/6)*1000</f>
      </c>
      <c r="O202" s="10">
        <f>N202/f_sc</f>
      </c>
      <c r="P202" s="8">
        <f>K_sc/G202</f>
      </c>
    </row>
    <row r="203">
      <c r="A203" s="18">
        <v>900.0</v>
      </c>
      <c r="B203" s="13">
        <f>A203/1000</f>
      </c>
      <c r="C203" s="16">
        <v>0.5</v>
      </c>
      <c r="D203" s="14">
        <f>2*ACOS(1-2*C203)</f>
      </c>
      <c r="E203" s="9">
        <f>B203^2*(D203-SIN(D203))/8</f>
      </c>
      <c r="F203" s="9">
        <f>B203*D203/2</f>
      </c>
      <c r="G203" s="9">
        <f>E203/F203</f>
      </c>
      <c r="H203" s="10">
        <f>(1/n_Manning)*SQRT(K_sss/100)*E203*G203^(1/6)*1000</f>
      </c>
      <c r="I203" s="10">
        <f>H203/f_sss</f>
      </c>
      <c r="J203" s="8">
        <f>K_sss/G203</f>
      </c>
      <c r="K203" s="12">
        <f>100/J203</f>
      </c>
      <c r="L203" s="10">
        <f>(H203/1000)/E203</f>
      </c>
      <c r="M203" s="9">
        <f>(H203/1000)*n_Manning/SQRT(K_sss/100)/B203^(13/6)</f>
      </c>
      <c r="N203" s="10">
        <f>(1/n_Manning)*SQRT(K_sc/100)*E203*G203^(1/6)*1000</f>
      </c>
      <c r="O203" s="10">
        <f>N203/f_sc</f>
      </c>
      <c r="P203" s="8">
        <f>K_sc/G203</f>
      </c>
    </row>
    <row r="204">
      <c r="A204" s="18">
        <v>900.0</v>
      </c>
      <c r="B204" s="13">
        <f>A204/1000</f>
      </c>
      <c r="C204" s="16">
        <v>0.55</v>
      </c>
      <c r="D204" s="14">
        <f>2*ACOS(1-2*C204)</f>
      </c>
      <c r="E204" s="9">
        <f>B204^2*(D204-SIN(D204))/8</f>
      </c>
      <c r="F204" s="9">
        <f>B204*D204/2</f>
      </c>
      <c r="G204" s="9">
        <f>E204/F204</f>
      </c>
      <c r="H204" s="10">
        <f>(1/n_Manning)*SQRT(K_sss/100)*E204*G204^(1/6)*1000</f>
      </c>
      <c r="I204" s="10">
        <f>H204/f_sss</f>
      </c>
      <c r="J204" s="8">
        <f>K_sss/G204</f>
      </c>
      <c r="K204" s="12">
        <f>100/J204</f>
      </c>
      <c r="L204" s="10">
        <f>(H204/1000)/E204</f>
      </c>
      <c r="M204" s="9">
        <f>(H204/1000)*n_Manning/SQRT(K_sss/100)/B204^(13/6)</f>
      </c>
      <c r="N204" s="10">
        <f>(1/n_Manning)*SQRT(K_sc/100)*E204*G204^(1/6)*1000</f>
      </c>
      <c r="O204" s="10">
        <f>N204/f_sc</f>
      </c>
      <c r="P204" s="8">
        <f>K_sc/G204</f>
      </c>
    </row>
    <row r="205">
      <c r="A205" s="18">
        <v>900.0</v>
      </c>
      <c r="B205" s="13">
        <f>A205/1000</f>
      </c>
      <c r="C205" s="16">
        <v>0.6</v>
      </c>
      <c r="D205" s="14">
        <f>2*ACOS(1-2*C205)</f>
      </c>
      <c r="E205" s="9">
        <f>B205^2*(D205-SIN(D205))/8</f>
      </c>
      <c r="F205" s="9">
        <f>B205*D205/2</f>
      </c>
      <c r="G205" s="9">
        <f>E205/F205</f>
      </c>
      <c r="H205" s="10">
        <f>(1/n_Manning)*SQRT(K_sss/100)*E205*G205^(1/6)*1000</f>
      </c>
      <c r="I205" s="10">
        <f>H205/f_sss</f>
      </c>
      <c r="J205" s="8">
        <f>K_sss/G205</f>
      </c>
      <c r="K205" s="12">
        <f>100/J205</f>
      </c>
      <c r="L205" s="10">
        <f>(H205/1000)/E205</f>
      </c>
      <c r="M205" s="9">
        <f>(H205/1000)*n_Manning/SQRT(K_sss/100)/B205^(13/6)</f>
      </c>
      <c r="N205" s="10">
        <f>(1/n_Manning)*SQRT(K_sc/100)*E205*G205^(1/6)*1000</f>
      </c>
      <c r="O205" s="10">
        <f>N205/f_sc</f>
      </c>
      <c r="P205" s="8">
        <f>K_sc/G205</f>
      </c>
    </row>
    <row r="206">
      <c r="A206" s="18">
        <v>900.0</v>
      </c>
      <c r="B206" s="13">
        <f>A206/1000</f>
      </c>
      <c r="C206" s="16">
        <v>0.65</v>
      </c>
      <c r="D206" s="14">
        <f>2*ACOS(1-2*C206)</f>
      </c>
      <c r="E206" s="9">
        <f>B206^2*(D206-SIN(D206))/8</f>
      </c>
      <c r="F206" s="9">
        <f>B206*D206/2</f>
      </c>
      <c r="G206" s="9">
        <f>E206/F206</f>
      </c>
      <c r="H206" s="10">
        <f>(1/n_Manning)*SQRT(K_sss/100)*E206*G206^(1/6)*1000</f>
      </c>
      <c r="I206" s="10">
        <f>H206/f_sss</f>
      </c>
      <c r="J206" s="8">
        <f>K_sss/G206</f>
      </c>
      <c r="K206" s="12">
        <f>100/J206</f>
      </c>
      <c r="L206" s="10">
        <f>(H206/1000)/E206</f>
      </c>
      <c r="M206" s="9">
        <f>(H206/1000)*n_Manning/SQRT(K_sss/100)/B206^(13/6)</f>
      </c>
      <c r="N206" s="10">
        <f>(1/n_Manning)*SQRT(K_sc/100)*E206*G206^(1/6)*1000</f>
      </c>
      <c r="O206" s="10">
        <f>N206/f_sc</f>
      </c>
      <c r="P206" s="8">
        <f>K_sc/G206</f>
      </c>
    </row>
    <row r="207">
      <c r="A207" s="18">
        <v>900.0</v>
      </c>
      <c r="B207" s="13">
        <f>A207/1000</f>
      </c>
      <c r="C207" s="16">
        <v>0.7</v>
      </c>
      <c r="D207" s="14">
        <f>2*ACOS(1-2*C207)</f>
      </c>
      <c r="E207" s="9">
        <f>B207^2*(D207-SIN(D207))/8</f>
      </c>
      <c r="F207" s="9">
        <f>B207*D207/2</f>
      </c>
      <c r="G207" s="9">
        <f>E207/F207</f>
      </c>
      <c r="H207" s="10">
        <f>(1/n_Manning)*SQRT(K_sss/100)*E207*G207^(1/6)*1000</f>
      </c>
      <c r="I207" s="10">
        <f>H207/f_sss</f>
      </c>
      <c r="J207" s="8">
        <f>K_sss/G207</f>
      </c>
      <c r="K207" s="12">
        <f>100/J207</f>
      </c>
      <c r="L207" s="10">
        <f>(H207/1000)/E207</f>
      </c>
      <c r="M207" s="9">
        <f>(H207/1000)*n_Manning/SQRT(K_sss/100)/B207^(13/6)</f>
      </c>
      <c r="N207" s="10">
        <f>(1/n_Manning)*SQRT(K_sc/100)*E207*G207^(1/6)*1000</f>
      </c>
      <c r="O207" s="10">
        <f>N207/f_sc</f>
      </c>
      <c r="P207" s="8">
        <f>K_sc/G207</f>
      </c>
    </row>
    <row r="208">
      <c r="A208" s="18">
        <v>900.0</v>
      </c>
      <c r="B208" s="13">
        <f>A208/1000</f>
      </c>
      <c r="C208" s="16">
        <v>0.75</v>
      </c>
      <c r="D208" s="14">
        <f>2*ACOS(1-2*C208)</f>
      </c>
      <c r="E208" s="9">
        <f>B208^2*(D208-SIN(D208))/8</f>
      </c>
      <c r="F208" s="9">
        <f>B208*D208/2</f>
      </c>
      <c r="G208" s="9">
        <f>E208/F208</f>
      </c>
      <c r="H208" s="10">
        <f>(1/n_Manning)*SQRT(K_sss/100)*E208*G208^(1/6)*1000</f>
      </c>
      <c r="I208" s="10">
        <f>H208/f_sss</f>
      </c>
      <c r="J208" s="8">
        <f>K_sss/G208</f>
      </c>
      <c r="K208" s="12">
        <f>100/J208</f>
      </c>
      <c r="L208" s="10">
        <f>(H208/1000)/E208</f>
      </c>
      <c r="M208" s="9">
        <f>(H208/1000)*n_Manning/SQRT(K_sss/100)/B208^(13/6)</f>
      </c>
      <c r="N208" s="10">
        <f>(1/n_Manning)*SQRT(K_sc/100)*E208*G208^(1/6)*1000</f>
      </c>
      <c r="O208" s="10">
        <f>N208/f_sc</f>
      </c>
      <c r="P208" s="8">
        <f>K_sc/G208</f>
      </c>
    </row>
    <row r="209">
      <c r="A209" s="18">
        <v>900.0</v>
      </c>
      <c r="B209" s="13">
        <f>A209/1000</f>
      </c>
      <c r="C209" s="16">
        <v>0.8</v>
      </c>
      <c r="D209" s="14">
        <f>2*ACOS(1-2*C209)</f>
      </c>
      <c r="E209" s="9">
        <f>B209^2*(D209-SIN(D209))/8</f>
      </c>
      <c r="F209" s="9">
        <f>B209*D209/2</f>
      </c>
      <c r="G209" s="9">
        <f>E209/F209</f>
      </c>
      <c r="H209" s="10">
        <f>(1/n_Manning)*SQRT(K_sss/100)*E209*G209^(1/6)*1000</f>
      </c>
      <c r="I209" s="10">
        <f>H209/f_sss</f>
      </c>
      <c r="J209" s="8">
        <f>K_sss/G209</f>
      </c>
      <c r="K209" s="12">
        <f>100/J209</f>
      </c>
      <c r="L209" s="10">
        <f>(H209/1000)/E209</f>
      </c>
      <c r="M209" s="9">
        <f>(H209/1000)*n_Manning/SQRT(K_sss/100)/B209^(13/6)</f>
      </c>
      <c r="N209" s="10">
        <f>(1/n_Manning)*SQRT(K_sc/100)*E209*G209^(1/6)*1000</f>
      </c>
      <c r="O209" s="10">
        <f>N209/f_sc</f>
      </c>
      <c r="P209" s="8">
        <f>K_sc/G209</f>
      </c>
    </row>
    <row r="210">
      <c r="A210" s="18">
        <v>900.0</v>
      </c>
      <c r="B210" s="13">
        <f>A210/1000</f>
      </c>
      <c r="C210" s="16">
        <v>0.85</v>
      </c>
      <c r="D210" s="14">
        <f>2*ACOS(1-2*C210)</f>
      </c>
      <c r="E210" s="9">
        <f>B210^2*(D210-SIN(D210))/8</f>
      </c>
      <c r="F210" s="9">
        <f>B210*D210/2</f>
      </c>
      <c r="G210" s="9">
        <f>E210/F210</f>
      </c>
      <c r="H210" s="10">
        <f>(1/n_Manning)*SQRT(K_sss/100)*E210*G210^(1/6)*1000</f>
      </c>
      <c r="I210" s="10">
        <f>H210/f_sss</f>
      </c>
      <c r="J210" s="8">
        <f>K_sss/G210</f>
      </c>
      <c r="K210" s="12">
        <f>100/J210</f>
      </c>
      <c r="L210" s="10">
        <f>(H210/1000)/E210</f>
      </c>
      <c r="M210" s="9">
        <f>(H210/1000)*n_Manning/SQRT(K_sss/100)/B210^(13/6)</f>
      </c>
      <c r="N210" s="10">
        <f>(1/n_Manning)*SQRT(K_sc/100)*E210*G210^(1/6)*1000</f>
      </c>
      <c r="O210" s="10">
        <f>N210/f_sc</f>
      </c>
      <c r="P210" s="8">
        <f>K_sc/G210</f>
      </c>
    </row>
    <row r="211">
      <c r="A211" s="18">
        <v>900.0</v>
      </c>
      <c r="B211" s="13">
        <f>A211/1000</f>
      </c>
      <c r="C211" s="16">
        <v>0.9</v>
      </c>
      <c r="D211" s="14">
        <f>2*ACOS(1-2*C211)</f>
      </c>
      <c r="E211" s="9">
        <f>B211^2*(D211-SIN(D211))/8</f>
      </c>
      <c r="F211" s="9">
        <f>B211*D211/2</f>
      </c>
      <c r="G211" s="9">
        <f>E211/F211</f>
      </c>
      <c r="H211" s="10">
        <f>(1/n_Manning)*SQRT(K_sss/100)*E211*G211^(1/6)*1000</f>
      </c>
      <c r="I211" s="10">
        <f>H211/f_sss</f>
      </c>
      <c r="J211" s="8">
        <f>K_sss/G211</f>
      </c>
      <c r="K211" s="12">
        <f>100/J211</f>
      </c>
      <c r="L211" s="10">
        <f>(H211/1000)/E211</f>
      </c>
      <c r="M211" s="9">
        <f>(H211/1000)*n_Manning/SQRT(K_sss/100)/B211^(13/6)</f>
      </c>
      <c r="N211" s="10">
        <f>(1/n_Manning)*SQRT(K_sc/100)*E211*G211^(1/6)*1000</f>
      </c>
      <c r="O211" s="10">
        <f>N211/f_sc</f>
      </c>
      <c r="P211" s="8">
        <f>K_sc/G211</f>
      </c>
    </row>
    <row r="212">
      <c r="A212" s="18">
        <v>900.0</v>
      </c>
      <c r="B212" s="13">
        <f>A212/1000</f>
      </c>
      <c r="C212" s="16">
        <v>0.95</v>
      </c>
      <c r="D212" s="14">
        <f>2*ACOS(1-2*C212)</f>
      </c>
      <c r="E212" s="9">
        <f>B212^2*(D212-SIN(D212))/8</f>
      </c>
      <c r="F212" s="9">
        <f>B212*D212/2</f>
      </c>
      <c r="G212" s="9">
        <f>E212/F212</f>
      </c>
      <c r="H212" s="10">
        <f>(1/n_Manning)*SQRT(K_sss/100)*E212*G212^(1/6)*1000</f>
      </c>
      <c r="I212" s="10">
        <f>H212/f_sss</f>
      </c>
      <c r="J212" s="8">
        <f>K_sss/G212</f>
      </c>
      <c r="K212" s="12">
        <f>100/J212</f>
      </c>
      <c r="L212" s="10">
        <f>(H212/1000)/E212</f>
      </c>
      <c r="M212" s="9">
        <f>(H212/1000)*n_Manning/SQRT(K_sss/100)/B212^(13/6)</f>
      </c>
      <c r="N212" s="10">
        <f>(1/n_Manning)*SQRT(K_sc/100)*E212*G212^(1/6)*1000</f>
      </c>
      <c r="O212" s="10">
        <f>N212/f_sc</f>
      </c>
      <c r="P212" s="8">
        <f>K_sc/G212</f>
      </c>
    </row>
    <row r="213">
      <c r="A213" s="18">
        <v>900.0</v>
      </c>
      <c r="B213" s="13">
        <f>A213/1000</f>
      </c>
      <c r="C213" s="16">
        <v>1.0</v>
      </c>
      <c r="D213" s="14">
        <f>2*ACOS(1-2*C213)</f>
      </c>
      <c r="E213" s="9">
        <f>B213^2*(D213-SIN(D213))/8</f>
      </c>
      <c r="F213" s="9">
        <f>B213*D213/2</f>
      </c>
      <c r="G213" s="9">
        <f>E213/F213</f>
      </c>
      <c r="H213" s="10">
        <f>(1/n_Manning)*SQRT(K_sss/100)*E213*G213^(1/6)*1000</f>
      </c>
      <c r="I213" s="10">
        <f>H213/f_sss</f>
      </c>
      <c r="J213" s="8">
        <f>K_sss/G213</f>
      </c>
      <c r="K213" s="12">
        <f>100/J213</f>
      </c>
      <c r="L213" s="10">
        <f>(H213/1000)/E213</f>
      </c>
      <c r="M213" s="9">
        <f>(H213/1000)*n_Manning/SQRT(K_sss/100)/B213^(13/6)</f>
      </c>
      <c r="N213" s="10">
        <f>(1/n_Manning)*SQRT(K_sc/100)*E213*G213^(1/6)*1000</f>
      </c>
      <c r="O213" s="10">
        <f>N213/f_sc</f>
      </c>
      <c r="P213" s="8">
        <f>K_sc/G213</f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15"/>
  <sheetViews>
    <sheetView workbookViewId="0"/>
  </sheetViews>
  <sheetFormatPr defaultRowHeight="15"/>
  <cols>
    <col min="1" max="1" width="72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2" customWidth="1"/>
    <col min="23" max="23" width="14" customWidth="1"/>
    <col min="24" max="24" width="12" customWidth="1"/>
  </cols>
  <sheetData>
    <row r="1">
      <c r="A1" s="6" t="inlineStr">
        <is>
          <t xml:space="preserve">Validation against the original spreadsheet's Wolfram Alpha solutions and published values</t>
        </is>
      </c>
    </row>
    <row r="2">
      <c r="A2" s="5" t="inlineStr">
        <is>
          <t xml:space="preserve">Rows 5-9 re-solve the exact cases the original sheet solved in Wolfram Alpha, using the same iteration as 'Calc'. Differences are rounding of the Wolfram values the original typed in.</t>
        </is>
      </c>
    </row>
    <row r="4">
      <c r="A4" s="2" t="inlineStr">
        <is>
          <t xml:space="preserve">Case</t>
        </is>
      </c>
      <c r="B4" s="2" t="inlineStr">
        <is>
          <t xml:space="preserve">D (m)</t>
        </is>
      </c>
      <c r="C4" s="2" t="inlineStr">
        <is>
          <t xml:space="preserve">Target T</t>
        </is>
      </c>
      <c r="D4" s="2" t="inlineStr">
        <is>
          <t xml:space="preserve">n</t>
        </is>
      </c>
      <c r="E4" s="2" t="inlineStr">
        <is>
          <t xml:space="preserve">K (%.m)</t>
        </is>
      </c>
      <c r="F4" s="2" t="inlineStr">
        <is>
          <t xml:space="preserve">theta0</t>
        </is>
      </c>
      <c r="G4" s="2" t="inlineStr">
        <is>
          <t xml:space="preserve">step 1</t>
        </is>
      </c>
      <c r="H4" s="2" t="inlineStr">
        <is>
          <t xml:space="preserve">step 2</t>
        </is>
      </c>
      <c r="I4" s="2" t="inlineStr">
        <is>
          <t xml:space="preserve">step 3</t>
        </is>
      </c>
      <c r="J4" s="2" t="inlineStr">
        <is>
          <t xml:space="preserve">step 4</t>
        </is>
      </c>
      <c r="K4" s="2" t="inlineStr">
        <is>
          <t xml:space="preserve">step 5</t>
        </is>
      </c>
      <c r="L4" s="2" t="inlineStr">
        <is>
          <t xml:space="preserve">step 6</t>
        </is>
      </c>
      <c r="M4" s="2" t="inlineStr">
        <is>
          <t xml:space="preserve">step 7</t>
        </is>
      </c>
      <c r="N4" s="2" t="inlineStr">
        <is>
          <t xml:space="preserve">step 8</t>
        </is>
      </c>
      <c r="O4" s="2" t="inlineStr">
        <is>
          <t xml:space="preserve">step 9</t>
        </is>
      </c>
      <c r="P4" s="2" t="inlineStr">
        <is>
          <t xml:space="preserve">step 10</t>
        </is>
      </c>
      <c r="Q4" s="2" t="inlineStr">
        <is>
          <t xml:space="preserve">step 11</t>
        </is>
      </c>
      <c r="R4" s="2" t="inlineStr">
        <is>
          <t xml:space="preserve">step 12</t>
        </is>
      </c>
      <c r="S4" s="2" t="inlineStr">
        <is>
          <t xml:space="preserve">step 13</t>
        </is>
      </c>
      <c r="T4" s="2" t="inlineStr">
        <is>
          <t xml:space="preserve">step 14</t>
        </is>
      </c>
      <c r="U4" s="2" t="inlineStr">
        <is>
          <t xml:space="preserve">theta</t>
        </is>
      </c>
      <c r="V4" s="2" t="inlineStr">
        <is>
          <t xml:space="preserve">Result</t>
        </is>
      </c>
      <c r="W4" s="2" t="inlineStr">
        <is>
          <t xml:space="preserve">Expected (original)</t>
        </is>
      </c>
      <c r="X4" s="2" t="inlineStr">
        <is>
          <t xml:space="preserve">Difference</t>
        </is>
      </c>
    </row>
    <row r="5">
      <c r="A5" t="inlineStr">
        <is>
          <t xml:space="preserve">DN300 slime control: y (mm) at Q75 = 4.1015 L/s (0.75 x 5.4686)</t>
        </is>
      </c>
      <c r="B5" s="13">
        <v>0.3</v>
      </c>
      <c r="C5" s="14">
        <f>(4.1014679739535103/1000)*D5/SQRT(E5/100)</f>
      </c>
      <c r="D5" s="13">
        <v>0.012</v>
      </c>
      <c r="E5" s="14">
        <v>0.0338</v>
      </c>
      <c r="F5" s="14">
        <f>IF($C5&lt;=0,0,MIN(2*PI()-0.000001,MAX(0.000001,($C5*81.52230382/$B5^2.166666667)^(1/3.333333333))))</f>
      </c>
      <c r="G5" s="14">
        <f>IF($C5&lt;=0,0,MIN(2*PI()-0.000001,MAX(0.000001,F5*($C5/(($B5^2*(F5-SIN(F5))/8)*(($B5/4)*(1-SIN(F5)/F5))^0.1666666667))^(1/MAX(((F5*(1-COS(F5))+0.1666666667*(SIN(F5)-F5*COS(F5)))/(F5-SIN(F5))),0.25)))))</f>
      </c>
      <c r="H5" s="14">
        <f>IF($C5&lt;=0,0,MIN(2*PI()-0.000001,MAX(0.000001,G5*($C5/(($B5^2*(G5-SIN(G5))/8)*(($B5/4)*(1-SIN(G5)/G5))^0.1666666667))^(1/MAX(((G5*(1-COS(G5))+0.1666666667*(SIN(G5)-G5*COS(G5)))/(G5-SIN(G5))),0.25)))))</f>
      </c>
      <c r="I5" s="14">
        <f>IF($C5&lt;=0,0,MIN(2*PI()-0.000001,MAX(0.000001,H5*($C5/(($B5^2*(H5-SIN(H5))/8)*(($B5/4)*(1-SIN(H5)/H5))^0.1666666667))^(1/MAX(((H5*(1-COS(H5))+0.1666666667*(SIN(H5)-H5*COS(H5)))/(H5-SIN(H5))),0.25)))))</f>
      </c>
      <c r="J5" s="14">
        <f>IF($C5&lt;=0,0,MIN(2*PI()-0.000001,MAX(0.000001,I5*($C5/(($B5^2*(I5-SIN(I5))/8)*(($B5/4)*(1-SIN(I5)/I5))^0.1666666667))^(1/MAX(((I5*(1-COS(I5))+0.1666666667*(SIN(I5)-I5*COS(I5)))/(I5-SIN(I5))),0.25)))))</f>
      </c>
      <c r="K5" s="14">
        <f>IF($C5&lt;=0,0,MIN(2*PI()-0.000001,MAX(0.000001,J5*($C5/(($B5^2*(J5-SIN(J5))/8)*(($B5/4)*(1-SIN(J5)/J5))^0.1666666667))^(1/MAX(((J5*(1-COS(J5))+0.1666666667*(SIN(J5)-J5*COS(J5)))/(J5-SIN(J5))),0.25)))))</f>
      </c>
      <c r="L5" s="14">
        <f>IF($C5&lt;=0,0,MIN(2*PI()-0.000001,MAX(0.000001,K5*($C5/(($B5^2*(K5-SIN(K5))/8)*(($B5/4)*(1-SIN(K5)/K5))^0.1666666667))^(1/MAX(((K5*(1-COS(K5))+0.1666666667*(SIN(K5)-K5*COS(K5)))/(K5-SIN(K5))),0.25)))))</f>
      </c>
      <c r="M5" s="14">
        <f>IF($C5&lt;=0,0,MIN(2*PI()-0.000001,MAX(0.000001,L5*($C5/(($B5^2*(L5-SIN(L5))/8)*(($B5/4)*(1-SIN(L5)/L5))^0.1666666667))^(1/MAX(((L5*(1-COS(L5))+0.1666666667*(SIN(L5)-L5*COS(L5)))/(L5-SIN(L5))),0.25)))))</f>
      </c>
      <c r="N5" s="14">
        <f>IF($C5&lt;=0,0,MIN(2*PI()-0.000001,MAX(0.000001,M5*($C5/(($B5^2*(M5-SIN(M5))/8)*(($B5/4)*(1-SIN(M5)/M5))^0.1666666667))^(1/MAX(((M5*(1-COS(M5))+0.1666666667*(SIN(M5)-M5*COS(M5)))/(M5-SIN(M5))),0.25)))))</f>
      </c>
      <c r="O5" s="14">
        <f>IF($C5&lt;=0,0,MIN(2*PI()-0.000001,MAX(0.000001,N5*($C5/(($B5^2*(N5-SIN(N5))/8)*(($B5/4)*(1-SIN(N5)/N5))^0.1666666667))^(1/MAX(((N5*(1-COS(N5))+0.1666666667*(SIN(N5)-N5*COS(N5)))/(N5-SIN(N5))),0.25)))))</f>
      </c>
      <c r="P5" s="14">
        <f>IF($C5&lt;=0,0,MIN(2*PI()-0.000001,MAX(0.000001,O5*($C5/(($B5^2*(O5-SIN(O5))/8)*(($B5/4)*(1-SIN(O5)/O5))^0.1666666667))^(1/MAX(((O5*(1-COS(O5))+0.1666666667*(SIN(O5)-O5*COS(O5)))/(O5-SIN(O5))),0.25)))))</f>
      </c>
      <c r="Q5" s="14">
        <f>IF($C5&lt;=0,0,MIN(2*PI()-0.000001,MAX(0.000001,P5*($C5/(($B5^2*(P5-SIN(P5))/8)*(($B5/4)*(1-SIN(P5)/P5))^0.1666666667))^(1/MAX(((P5*(1-COS(P5))+0.1666666667*(SIN(P5)-P5*COS(P5)))/(P5-SIN(P5))),0.25)))))</f>
      </c>
      <c r="R5" s="14">
        <f>IF($C5&lt;=0,0,MIN(2*PI()-0.000001,MAX(0.000001,Q5*($C5/(($B5^2*(Q5-SIN(Q5))/8)*(($B5/4)*(1-SIN(Q5)/Q5))^0.1666666667))^(1/MAX(((Q5*(1-COS(Q5))+0.1666666667*(SIN(Q5)-Q5*COS(Q5)))/(Q5-SIN(Q5))),0.25)))))</f>
      </c>
      <c r="S5" s="14">
        <f>IF($C5&lt;=0,0,MIN(2*PI()-0.000001,MAX(0.000001,R5*($C5/(($B5^2*(R5-SIN(R5))/8)*(($B5/4)*(1-SIN(R5)/R5))^0.1666666667))^(1/MAX(((R5*(1-COS(R5))+0.1666666667*(SIN(R5)-R5*COS(R5)))/(R5-SIN(R5))),0.25)))))</f>
      </c>
      <c r="T5" s="14">
        <f>IF($C5&lt;=0,0,MIN(2*PI()-0.000001,MAX(0.000001,S5*($C5/(($B5^2*(S5-SIN(S5))/8)*(($B5/4)*(1-SIN(S5)/S5))^0.1666666667))^(1/MAX(((S5*(1-COS(S5))+0.1666666667*(SIN(S5)-S5*COS(S5)))/(S5-SIN(S5))),0.25)))))</f>
      </c>
      <c r="U5" s="14">
        <f>T5</f>
      </c>
      <c r="V5" s="8">
        <f>$B5/2*(1-COS(U5/2))*1000</f>
      </c>
      <c r="W5" s="13">
        <v>37.0</v>
      </c>
      <c r="X5" s="9">
        <f>V5-W5</f>
      </c>
    </row>
    <row r="6">
      <c r="A6" t="inlineStr">
        <is>
          <t xml:space="preserve">DN300 slime control: Sss (%) for the same case</t>
        </is>
      </c>
      <c r="V6" s="8">
        <f>$E$5/(($B$5/4)*(1-SIN(U5)/U5))</f>
      </c>
      <c r="W6" s="14">
        <v>1.455215082657109</v>
      </c>
      <c r="X6" s="9">
        <f>V6-W6</f>
      </c>
    </row>
    <row r="7">
      <c r="A7" t="inlineStr">
        <is>
          <t xml:space="preserve">DN150 max velocity: y (mm) for A = 0.0018857 m2 (5.4686 L/s at 2.9 m/s)</t>
        </is>
      </c>
      <c r="B7" s="13">
        <v>0.15</v>
      </c>
      <c r="C7" s="14">
        <v>0.0018857324018177058</v>
      </c>
      <c r="F7" s="14">
        <f>IF($C7&lt;=0,0,MIN(2*PI()-0.000001,MAX(0.000001,($C7*48/$B7^2)^(1/3))))</f>
      </c>
      <c r="G7" s="14">
        <f>IF($C7&lt;=0,0,MIN(2*PI()-0.000001,MAX(0.000001,F7*($C7/($B7^2*(F7-SIN(F7))/8))^(1/MAX((F7*(1-COS(F7))/(F7-SIN(F7))),0.25)))))</f>
      </c>
      <c r="H7" s="14">
        <f>IF($C7&lt;=0,0,MIN(2*PI()-0.000001,MAX(0.000001,G7*($C7/($B7^2*(G7-SIN(G7))/8))^(1/MAX((G7*(1-COS(G7))/(G7-SIN(G7))),0.25)))))</f>
      </c>
      <c r="I7" s="14">
        <f>IF($C7&lt;=0,0,MIN(2*PI()-0.000001,MAX(0.000001,H7*($C7/($B7^2*(H7-SIN(H7))/8))^(1/MAX((H7*(1-COS(H7))/(H7-SIN(H7))),0.25)))))</f>
      </c>
      <c r="J7" s="14">
        <f>IF($C7&lt;=0,0,MIN(2*PI()-0.000001,MAX(0.000001,I7*($C7/($B7^2*(I7-SIN(I7))/8))^(1/MAX((I7*(1-COS(I7))/(I7-SIN(I7))),0.25)))))</f>
      </c>
      <c r="K7" s="14">
        <f>IF($C7&lt;=0,0,MIN(2*PI()-0.000001,MAX(0.000001,J7*($C7/($B7^2*(J7-SIN(J7))/8))^(1/MAX((J7*(1-COS(J7))/(J7-SIN(J7))),0.25)))))</f>
      </c>
      <c r="L7" s="14">
        <f>IF($C7&lt;=0,0,MIN(2*PI()-0.000001,MAX(0.000001,K7*($C7/($B7^2*(K7-SIN(K7))/8))^(1/MAX((K7*(1-COS(K7))/(K7-SIN(K7))),0.25)))))</f>
      </c>
      <c r="M7" s="14">
        <f>IF($C7&lt;=0,0,MIN(2*PI()-0.000001,MAX(0.000001,L7*($C7/($B7^2*(L7-SIN(L7))/8))^(1/MAX((L7*(1-COS(L7))/(L7-SIN(L7))),0.25)))))</f>
      </c>
      <c r="N7" s="14">
        <f>IF($C7&lt;=0,0,MIN(2*PI()-0.000001,MAX(0.000001,M7*($C7/($B7^2*(M7-SIN(M7))/8))^(1/MAX((M7*(1-COS(M7))/(M7-SIN(M7))),0.25)))))</f>
      </c>
      <c r="O7" s="14">
        <f>IF($C7&lt;=0,0,MIN(2*PI()-0.000001,MAX(0.000001,N7*($C7/($B7^2*(N7-SIN(N7))/8))^(1/MAX((N7*(1-COS(N7))/(N7-SIN(N7))),0.25)))))</f>
      </c>
      <c r="P7" s="14">
        <f>IF($C7&lt;=0,0,MIN(2*PI()-0.000001,MAX(0.000001,O7*($C7/($B7^2*(O7-SIN(O7))/8))^(1/MAX((O7*(1-COS(O7))/(O7-SIN(O7))),0.25)))))</f>
      </c>
      <c r="Q7" s="14">
        <f>IF($C7&lt;=0,0,MIN(2*PI()-0.000001,MAX(0.000001,P7*($C7/($B7^2*(P7-SIN(P7))/8))^(1/MAX((P7*(1-COS(P7))/(P7-SIN(P7))),0.25)))))</f>
      </c>
      <c r="R7" s="14">
        <f>IF($C7&lt;=0,0,MIN(2*PI()-0.000001,MAX(0.000001,Q7*($C7/($B7^2*(Q7-SIN(Q7))/8))^(1/MAX((Q7*(1-COS(Q7))/(Q7-SIN(Q7))),0.25)))))</f>
      </c>
      <c r="S7" s="14">
        <f>IF($C7&lt;=0,0,MIN(2*PI()-0.000001,MAX(0.000001,R7*($C7/($B7^2*(R7-SIN(R7))/8))^(1/MAX((R7*(1-COS(R7))/(R7-SIN(R7))),0.25)))))</f>
      </c>
      <c r="T7" s="14">
        <f>IF($C7&lt;=0,0,MIN(2*PI()-0.000001,MAX(0.000001,S7*($C7/($B7^2*(S7-SIN(S7))/8))^(1/MAX((S7*(1-COS(S7))/(S7-SIN(S7))),0.25)))))</f>
      </c>
      <c r="U7" s="14">
        <f>T7</f>
      </c>
      <c r="V7" s="8">
        <f>$B7/2*(1-COS(U7/2))*1000</f>
      </c>
      <c r="W7" s="13">
        <v>24.5518</v>
      </c>
      <c r="X7" s="9">
        <f>V7-W7</f>
      </c>
    </row>
    <row r="8">
      <c r="A8" t="inlineStr">
        <is>
          <t xml:space="preserve">DN300 max velocity: y (mm) for A = 0.0018857 m2 (5.4686 L/s at 2.9 m/s)</t>
        </is>
      </c>
      <c r="B8" s="13">
        <v>0.3</v>
      </c>
      <c r="C8" s="14">
        <v>0.0018857324018177058</v>
      </c>
      <c r="F8" s="14">
        <f>IF($C8&lt;=0,0,MIN(2*PI()-0.000001,MAX(0.000001,($C8*48/$B8^2)^(1/3))))</f>
      </c>
      <c r="G8" s="14">
        <f>IF($C8&lt;=0,0,MIN(2*PI()-0.000001,MAX(0.000001,F8*($C8/($B8^2*(F8-SIN(F8))/8))^(1/MAX((F8*(1-COS(F8))/(F8-SIN(F8))),0.25)))))</f>
      </c>
      <c r="H8" s="14">
        <f>IF($C8&lt;=0,0,MIN(2*PI()-0.000001,MAX(0.000001,G8*($C8/($B8^2*(G8-SIN(G8))/8))^(1/MAX((G8*(1-COS(G8))/(G8-SIN(G8))),0.25)))))</f>
      </c>
      <c r="I8" s="14">
        <f>IF($C8&lt;=0,0,MIN(2*PI()-0.000001,MAX(0.000001,H8*($C8/($B8^2*(H8-SIN(H8))/8))^(1/MAX((H8*(1-COS(H8))/(H8-SIN(H8))),0.25)))))</f>
      </c>
      <c r="J8" s="14">
        <f>IF($C8&lt;=0,0,MIN(2*PI()-0.000001,MAX(0.000001,I8*($C8/($B8^2*(I8-SIN(I8))/8))^(1/MAX((I8*(1-COS(I8))/(I8-SIN(I8))),0.25)))))</f>
      </c>
      <c r="K8" s="14">
        <f>IF($C8&lt;=0,0,MIN(2*PI()-0.000001,MAX(0.000001,J8*($C8/($B8^2*(J8-SIN(J8))/8))^(1/MAX((J8*(1-COS(J8))/(J8-SIN(J8))),0.25)))))</f>
      </c>
      <c r="L8" s="14">
        <f>IF($C8&lt;=0,0,MIN(2*PI()-0.000001,MAX(0.000001,K8*($C8/($B8^2*(K8-SIN(K8))/8))^(1/MAX((K8*(1-COS(K8))/(K8-SIN(K8))),0.25)))))</f>
      </c>
      <c r="M8" s="14">
        <f>IF($C8&lt;=0,0,MIN(2*PI()-0.000001,MAX(0.000001,L8*($C8/($B8^2*(L8-SIN(L8))/8))^(1/MAX((L8*(1-COS(L8))/(L8-SIN(L8))),0.25)))))</f>
      </c>
      <c r="N8" s="14">
        <f>IF($C8&lt;=0,0,MIN(2*PI()-0.000001,MAX(0.000001,M8*($C8/($B8^2*(M8-SIN(M8))/8))^(1/MAX((M8*(1-COS(M8))/(M8-SIN(M8))),0.25)))))</f>
      </c>
      <c r="O8" s="14">
        <f>IF($C8&lt;=0,0,MIN(2*PI()-0.000001,MAX(0.000001,N8*($C8/($B8^2*(N8-SIN(N8))/8))^(1/MAX((N8*(1-COS(N8))/(N8-SIN(N8))),0.25)))))</f>
      </c>
      <c r="P8" s="14">
        <f>IF($C8&lt;=0,0,MIN(2*PI()-0.000001,MAX(0.000001,O8*($C8/($B8^2*(O8-SIN(O8))/8))^(1/MAX((O8*(1-COS(O8))/(O8-SIN(O8))),0.25)))))</f>
      </c>
      <c r="Q8" s="14">
        <f>IF($C8&lt;=0,0,MIN(2*PI()-0.000001,MAX(0.000001,P8*($C8/($B8^2*(P8-SIN(P8))/8))^(1/MAX((P8*(1-COS(P8))/(P8-SIN(P8))),0.25)))))</f>
      </c>
      <c r="R8" s="14">
        <f>IF($C8&lt;=0,0,MIN(2*PI()-0.000001,MAX(0.000001,Q8*($C8/($B8^2*(Q8-SIN(Q8))/8))^(1/MAX((Q8*(1-COS(Q8))/(Q8-SIN(Q8))),0.25)))))</f>
      </c>
      <c r="S8" s="14">
        <f>IF($C8&lt;=0,0,MIN(2*PI()-0.000001,MAX(0.000001,R8*($C8/($B8^2*(R8-SIN(R8))/8))^(1/MAX((R8*(1-COS(R8))/(R8-SIN(R8))),0.25)))))</f>
      </c>
      <c r="T8" s="14">
        <f>IF($C8&lt;=0,0,MIN(2*PI()-0.000001,MAX(0.000001,S8*($C8/($B8^2*(S8-SIN(S8))/8))^(1/MAX((S8*(1-COS(S8))/(S8-SIN(S8))),0.25)))))</f>
      </c>
      <c r="U8" s="14">
        <f>T8</f>
      </c>
      <c r="V8" s="8">
        <f>$B8/2*(1-COS(U8/2))*1000</f>
      </c>
      <c r="W8" s="13">
        <v>19.069</v>
      </c>
      <c r="X8" s="9">
        <f>V8-W8</f>
      </c>
    </row>
    <row r="9">
      <c r="A9" t="inlineStr">
        <is>
          <t xml:space="preserve">DN150 max grade (%) for the same case (original: 32.47 % = 2.9 m/s in DN150 at 5.47 L/s)</t>
        </is>
      </c>
      <c r="V9" s="8">
        <f>((2.9*0.012)/((($C$7)/(0.075*U7))^(2/3)))^2*100</f>
      </c>
      <c r="W9" s="14">
        <v>32.47247299925227</v>
      </c>
      <c r="X9" s="9">
        <f>V9-W9</f>
      </c>
    </row>
    <row r="12">
      <c r="A12" s="1" t="inlineStr">
        <is>
          <t xml:space="preserve">Published Icon Water values (Molonglo 2 sewer report) - implied design flows computed with the same equations (n = 0.012, K_sss = 0.0338):</t>
        </is>
      </c>
    </row>
    <row r="13">
      <c r="A13" t="inlineStr">
        <is>
          <t xml:space="preserve">DN225 SSC grade 0.94 %  -&gt;  Rp = 0.036 m, y/D = 0.28, Q75 = 7.9 L/s, PDWF ~ 10.5 L/s</t>
        </is>
      </c>
    </row>
    <row r="14">
      <c r="A14" t="inlineStr">
        <is>
          <t xml:space="preserve">DN300 SSC grade 0.54-0.64 %  -&gt;  y/D = 0.31-0.39, PDWF ~ 23-32 L/s</t>
        </is>
      </c>
    </row>
    <row r="15">
      <c r="A15" s="5" t="inlineStr">
        <is>
          <t xml:space="preserve">STD-SPE-G-011 Version 5 fixes the coefficients at Ssc = 0.0135/Rp and Sss = 0.0338/Rp, both at Qdmp. The 0.0163 figure was an earlier guess and is not in the supplement.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cols>
    <col min="1" max="1" width="30" customWidth="1"/>
    <col min="2" max="2" width="120" customWidth="1"/>
    <col min="3" max="3" width="90" customWidth="1"/>
  </cols>
  <sheetData>
    <row r="1">
      <c r="A1" s="6" t="inlineStr">
        <is>
          <t xml:space="preserve">Sources and further reading (see also RESEARCH_NOTES.md in the repo)</t>
        </is>
      </c>
    </row>
    <row r="3">
      <c r="A3" s="2" t="inlineStr">
        <is>
          <t xml:space="preserve">Publisher</t>
        </is>
      </c>
      <c r="B3" s="2" t="inlineStr">
        <is>
          <t xml:space="preserve">Document / relevance</t>
        </is>
      </c>
      <c r="C3" s="2" t="inlineStr">
        <is>
          <t xml:space="preserve">Link</t>
        </is>
      </c>
    </row>
    <row r="4">
      <c r="A4" t="inlineStr">
        <is>
          <t xml:space="preserve">Icon Water</t>
        </is>
      </c>
      <c r="B4" s="15" t="inlineStr">
        <is>
          <t xml:space="preserve">STD-SPE-G-011 Supplement to WSA 02-2014-3.3 Gravity Sewerage Code of Australia (Eq IW.5.5.3.1-3, IW.5.5.4, Table IW.3) - download from the standards page</t>
        </is>
      </c>
      <c r="C4" t="inlineStr">
        <is>
          <t xml:space="preserve">https://www.iconwater.com.au/Developers-and-Renovators/Water-and-Sewerage-Service-Standards-and-Guidelines/New-Icon-Water-water-supply-and-sewerage-standards</t>
        </is>
      </c>
    </row>
    <row r="5">
      <c r="A5" t="inlineStr">
        <is>
          <t xml:space="preserve">WSAA / Sydney Water</t>
        </is>
      </c>
      <c r="B5" s="15" t="inlineStr">
        <is>
          <t xml:space="preserve">WSA 02-2002-2.2 Sewerage Code of Australia, Sydney Water Edition v3 (2009), Part 1 Planning and Design - cl 3 flow estimation, cl 4.5 pipe sizing and grading, App A EP, App B flow model. In RAG corpus: rag_demo_complete\pdfs\sydney_water\WSA02_2002_Part1_22_SW3.pdf</t>
        </is>
      </c>
      <c r="C5" t="inlineStr">
        <is>
          <t xml:space="preserve">(local)</t>
        </is>
      </c>
    </row>
    <row r="6">
      <c r="A6" t="inlineStr">
        <is>
          <t xml:space="preserve">WSAA</t>
        </is>
      </c>
      <c r="B6" s="15" t="inlineStr">
        <is>
          <t xml:space="preserve">WSA 02-2014 Gravity Sewerage Code of Australia v3.1 / v3.3 (purchase)</t>
        </is>
      </c>
      <c r="C6" t="inlineStr">
        <is>
          <t xml:space="preserve">https://www.wsaa.asn.au/</t>
        </is>
      </c>
    </row>
    <row r="7">
      <c r="A7" t="inlineStr">
        <is>
          <t xml:space="preserve">Sydney Water</t>
        </is>
      </c>
      <c r="B7" s="15" t="inlineStr">
        <is>
          <t xml:space="preserve">Design guideline - minimising odour-causing turbulence D0002356 (0.7 m/s; 1.6 Pa grit; 3.35 Pa slime; min grade tables)</t>
        </is>
      </c>
      <c r="C7" t="inlineStr">
        <is>
          <t xml:space="preserve">https://www.sydneywater.com.au/content/dam/sydneywater/documents/provider-information/standards-specifications/design-guideline-minimising-odour-causing-turbulence.pdf</t>
        </is>
      </c>
    </row>
    <row r="8">
      <c r="A8" t="inlineStr">
        <is>
          <t xml:space="preserve">Sydney Water</t>
        </is>
      </c>
      <c r="B8" s="15" t="inlineStr">
        <is>
          <t xml:space="preserve">Pipe sizing and grading tables (Tables SW 4.1-4.x, EP / grade / capacity)</t>
        </is>
      </c>
      <c r="C8" t="inlineStr">
        <is>
          <t xml:space="preserve">https://www.sydneywater.com.au/content/dam/sydneywater/documents/provider-information/instructions/pipe-sizing-and-grading-tables.pdf</t>
        </is>
      </c>
    </row>
    <row r="9">
      <c r="A9" t="inlineStr">
        <is>
          <t xml:space="preserve">Standards Australia</t>
        </is>
      </c>
      <c r="B9" s="15" t="inlineStr">
        <is>
          <t xml:space="preserve">AS 2200-2006 Design charts for water supply and sewerage (Colebrook-White / Manning part-full charts)</t>
        </is>
      </c>
      <c r="C9" t="inlineStr">
        <is>
          <t xml:space="preserve">https://www.standards.org.au/</t>
        </is>
      </c>
    </row>
    <row r="10">
      <c r="A10" t="inlineStr">
        <is>
          <t xml:space="preserve">Standards Australia</t>
        </is>
      </c>
      <c r="B10" s="15" t="inlineStr">
        <is>
          <t xml:space="preserve">AS/NZS 3500.2 Sanitary plumbing and drainage - minimum drain grades (in RAG corpus: AS3500.2-2021.pdf)</t>
        </is>
      </c>
      <c r="C10" t="inlineStr">
        <is>
          <t xml:space="preserve">(local)</t>
        </is>
      </c>
    </row>
    <row r="11">
      <c r="A11" t="inlineStr">
        <is>
          <t xml:space="preserve">Central Coast Council</t>
        </is>
      </c>
      <c r="B11" s="15" t="inlineStr">
        <is>
          <t xml:space="preserve">WSAA Sewerage Code supplement V1.0 - refers to Hunter Water WSA 02-2014-3.1 App HW R empirical size/grade relationships (in RAG corpus)</t>
        </is>
      </c>
      <c r="C11" t="inlineStr">
        <is>
          <t xml:space="preserve">(local)</t>
        </is>
      </c>
    </row>
    <row r="12">
      <c r="A12" t="inlineStr">
        <is>
          <t xml:space="preserve">Mara &amp; Broome (2008)</t>
        </is>
      </c>
      <c r="B12" s="15" t="inlineStr">
        <is>
          <t xml:space="preserve">Sewerage: a return to basics to benefit the poor - i_min = K Q^-6/13 from tractive tension + Manning (NBR 9649 form 0.0055 Q^-0.47)</t>
        </is>
      </c>
      <c r="C12" t="inlineStr">
        <is>
          <t xml:space="preserve">https://eprints.whiterose.ac.uk/</t>
        </is>
      </c>
    </row>
    <row r="13">
      <c r="A13" t="inlineStr">
        <is>
          <t xml:space="preserve">Akgiray (2004, 2005)</t>
        </is>
      </c>
      <c r="B13" s="15" t="inlineStr">
        <is>
          <t xml:space="preserve">Explicit solutions of the Manning equation for partially filled circular pipes (Can. J. Civ. Eng. 32:490-499; Environ. Eng. Sci. 21(3))</t>
        </is>
      </c>
      <c r="C13" t="inlineStr">
        <is>
          <t xml:space="preserve">https://doi.org/10.1139/l05-001</t>
        </is>
      </c>
    </row>
    <row r="14">
      <c r="A14" t="inlineStr">
        <is>
          <t xml:space="preserve">Saatci (1990)</t>
        </is>
      </c>
      <c r="B14" s="15" t="inlineStr">
        <is>
          <t xml:space="preserve">Velocity and depth of flow calculations in partially filled pipes, J. Environ. Eng. 116(6)</t>
        </is>
      </c>
      <c r="C14" t="inlineStr">
        <is>
          <t xml:space="preserve">https://doi.org/10.1061/(ASCE)0733-9372(1990)116:6(1202)</t>
        </is>
      </c>
    </row>
    <row r="15">
      <c r="A15" t="inlineStr">
        <is>
          <t xml:space="preserve">Giroud, Palmer &amp; Dove (2000)</t>
        </is>
      </c>
      <c r="B15" s="15" t="inlineStr">
        <is>
          <t xml:space="preserve">Calculation of flow velocity in pipes as a function of flow rate, Geosynthetics International 7(4-6)</t>
        </is>
      </c>
      <c r="C15" t="inlineStr">
        <is>
          <t xml:space="preserve">https://doi.org/10.1680/gein.7.0177</t>
        </is>
      </c>
    </row>
    <row r="16">
      <c r="A16" t="inlineStr">
        <is>
          <t xml:space="preserve">Bengtson (PDH)</t>
        </is>
      </c>
      <c r="B16" s="15" t="inlineStr">
        <is>
          <t xml:space="preserve">Partially full pipe flow calculations (SI units) - cited in the original notes</t>
        </is>
      </c>
      <c r="C16" t="inlineStr">
        <is>
          <t xml:space="preserve">https://pdhlibrary.com/</t>
        </is>
      </c>
    </row>
    <row r="17">
      <c r="A17" t="inlineStr">
        <is>
          <t xml:space="preserve">Engineering Toolbox</t>
        </is>
      </c>
      <c r="B17" s="15" t="inlineStr">
        <is>
          <t xml:space="preserve">Manning's formula and gravity flow - cited in the original notes</t>
        </is>
      </c>
      <c r="C17" t="inlineStr">
        <is>
          <t xml:space="preserve">https://www.engineeringtoolbox.com/mannings-formula-gravity-flow-d_805.html</t>
        </is>
      </c>
    </row>
    <row r="18">
      <c r="A18" t="inlineStr">
        <is>
          <t xml:space="preserve">Hunter Water</t>
        </is>
      </c>
      <c r="B18" s="15" t="inlineStr">
        <is>
          <t xml:space="preserve">WSA 02-2014-3.1 Hunter Water edition, Appendix HW N (flows) and HW R (empirical pipe sizing / grading) - purchase via WSAA</t>
        </is>
      </c>
      <c r="C18" t="inlineStr">
        <is>
          <t xml:space="preserve">https://www.hunterwater.com.au/building-and-developing/drawings-plans-and-specifications/water-and-sewer-design-manuals</t>
        </is>
      </c>
    </row>
    <row r="19">
      <c r="A19" t="inlineStr">
        <is>
          <t xml:space="preserve">MRWA / Coliban / TasWater / SGW</t>
        </is>
      </c>
      <c r="B19" s="15" t="inlineStr">
        <is>
          <t xml:space="preserve">WSA 02-2014-3.1 MRWA edition supplements - Table 5.6 min grades, 0.35 m/s at PDWF+GWI, Colebrook-White part-full</t>
        </is>
      </c>
      <c r="C19" t="inlineStr">
        <is>
          <t xml:space="preserve">https://coliban.com.au/</t>
        </is>
      </c>
    </row>
    <row r="20">
      <c r="A20" t="inlineStr">
        <is>
          <t xml:space="preserve">QLD (FNQROC D7, CMDG D12, Toowoomba)</t>
        </is>
      </c>
      <c r="B20" s="15" t="inlineStr">
        <is>
          <t xml:space="preserve">PDWF = 4.7 EP^-0.105 ADWF; tractive force 0.15 kg/m2</t>
        </is>
      </c>
      <c r="C20" t="inlineStr">
        <is>
          <t xml:space="preserve">https://www.fnqroc.qld.gov.au/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Sewer grade calculator (Icon Water STD-SPE-G-011, ACT)</dc:title>
  <dc:creator>DC</dc:creator>
  <dcterms:created xsi:type="dcterms:W3CDTF">2026-09-23T12:09:27Z</dcterms:created>
  <dcterms:modified xsi:type="dcterms:W3CDTF">2026-09-23T12:09:27Z</dcterms:modified>
</cp:coreProperties>
</file>